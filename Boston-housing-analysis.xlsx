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\Documents\"/>
    </mc:Choice>
  </mc:AlternateContent>
  <xr:revisionPtr revIDLastSave="0" documentId="13_ncr:9_{9DB1955E-A686-4792-93C4-614A3EA2862D}" xr6:coauthVersionLast="47" xr6:coauthVersionMax="47" xr10:uidLastSave="{00000000-0000-0000-0000-000000000000}"/>
  <bookViews>
    <workbookView xWindow="-108" yWindow="-108" windowWidth="23256" windowHeight="12456" xr2:uid="{D1CE4B71-EDBA-4519-80B7-DAE088EE7BAA}"/>
  </bookViews>
  <sheets>
    <sheet name="Boston-house-price-data" sheetId="1" r:id="rId1"/>
    <sheet name="PT_Crime_Price" sheetId="2" r:id="rId2"/>
    <sheet name="PT_Rooms_Price" sheetId="3" r:id="rId3"/>
    <sheet name="PT_Price_Distribution" sheetId="4" r:id="rId4"/>
  </sheets>
  <calcPr calcId="0"/>
  <pivotCaches>
    <pivotCache cacheId="7" r:id="rId5"/>
  </pivotCaches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T2" i="1"/>
  <c r="S2" i="1"/>
  <c r="R2" i="1"/>
</calcChain>
</file>

<file path=xl/sharedStrings.xml><?xml version="1.0" encoding="utf-8"?>
<sst xmlns="http://schemas.openxmlformats.org/spreadsheetml/2006/main" count="38" uniqueCount="29">
  <si>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</si>
  <si>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</si>
  <si>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</si>
  <si>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</si>
  <si>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</si>
  <si>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</si>
  <si>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</si>
  <si>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</si>
  <si>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</si>
  <si>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</si>
  <si>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</si>
  <si>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</si>
  <si>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</si>
  <si>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</si>
  <si>
    <t>Max Price</t>
  </si>
  <si>
    <t>Min Price</t>
  </si>
  <si>
    <t>Avg Price</t>
  </si>
  <si>
    <t>Price Category</t>
  </si>
  <si>
    <t>Crime Risk Band</t>
  </si>
  <si>
    <t>Room Tier</t>
  </si>
  <si>
    <t>Row Labels</t>
  </si>
  <si>
    <t>High</t>
  </si>
  <si>
    <t>Low</t>
  </si>
  <si>
    <t>Medium</t>
  </si>
  <si>
    <t>Grand Total</t>
  </si>
  <si>
    <t>Average of MEDV</t>
  </si>
  <si>
    <t>Large</t>
  </si>
  <si>
    <t>Small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</si>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</sst>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3" fillId="3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[Boston-housing-analysis.xlsx]PT_Crime_Price!PivotTable1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House Price by Crime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PT_Crime_Price!$B$1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PT_Crime_Price!$A$2:$A$5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PT_Crime_Price!$B$2:$B$5</c:f>
              <c:numCache>
                <c:formatCode>General</c:formatCode>
                <c:ptCount val="3"/>
                <c:pt idx="0">
                  <c:v>12.340740740740738</c:v>
                </c:pt>
                <c:pt idx="1">
                  <c:v>25.110843373493996</c:v>
                </c:pt>
                <c:pt idx="2">
                  <c:v>19.986666666666668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2-4CBF-A8F3-2333D7BE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72490896"/>
        <c:axId val="672517776"/>
      </c:barChart>
      <c:catAx>
        <c:axId val="6724908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17776"/>
        <c:crosses val="autoZero"/>
        <c:auto val="1"/>
        <c:lblAlgn val="ctr"/>
        <c:lblOffset val="100"/>
        <c:noMultiLvlLbl val="0"/>
      </c:catAx>
      <c:valAx>
        <c:axId val="672517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49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[Boston-housing-analysis.xlsx]PT_Rooms_Price!PivotTable2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House Price by Room Size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PT_Rooms_Price!$B$1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PT_Rooms_Price!$A$2:$A$5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PT_Rooms_Price!$B$2:$B$5</c:f>
              <c:numCache>
                <c:formatCode>General</c:formatCode>
                <c:ptCount val="3"/>
                <c:pt idx="0">
                  <c:v>31.061184210526292</c:v>
                </c:pt>
                <c:pt idx="1">
                  <c:v>19.366025641025654</c:v>
                </c:pt>
                <c:pt idx="2">
                  <c:v>15.192857142857141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3-4F54-BA41-7E582A49A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72506736"/>
        <c:axId val="672508176"/>
      </c:barChart>
      <c:catAx>
        <c:axId val="6725067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08176"/>
        <c:crosses val="autoZero"/>
        <c:auto val="1"/>
        <c:lblAlgn val="ctr"/>
        <c:lblOffset val="100"/>
        <c:noMultiLvlLbl val="0"/>
      </c:catAx>
      <c:valAx>
        <c:axId val="672508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0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[Boston-housing-analysis.xlsx]PT_Price_Distribution!PivotTable3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Price Category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PT_Price_Distribution!$B$1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PT_Price_Distribution!$A$2:$A$5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Mid</c:v>
                </c:pt>
              </c:strCache>
            </c:strRef>
          </c:cat>
          <c:val>
            <c:numRef>
              <c:f>PT_Price_Distribution!$B$2:$B$5</c:f>
              <c:numCache>
                <c:formatCode>General</c:formatCode>
                <c:ptCount val="3"/>
                <c:pt idx="0">
                  <c:v>35.259677419354823</c:v>
                </c:pt>
                <c:pt idx="1">
                  <c:v>11.713402061855668</c:v>
                </c:pt>
                <c:pt idx="2">
                  <c:v>20.677894736842113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8-4C3A-9A21-03177D4E2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2</xdr:row>
      <xdr:rowOff>156210</xdr:rowOff>
    </xdr:from>
    <xdr:to>
      <xdr:col>15</xdr:col>
      <xdr:colOff>7620</xdr:colOff>
      <xdr:row>25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CA9F1A-FD04-DFFB-EE47-96A51A281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0</xdr:rowOff>
    </xdr:from>
    <xdr:to>
      <xdr:col>15</xdr:col>
      <xdr:colOff>601980</xdr:colOff>
      <xdr:row>26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45B604-8E79-7808-560F-868F7BF9C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2</xdr:row>
      <xdr:rowOff>7620</xdr:rowOff>
    </xdr:from>
    <xdr:to>
      <xdr:col>15</xdr:col>
      <xdr:colOff>0</xdr:colOff>
      <xdr:row>26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3112DE-73F0-547B-6BC0-5611F2473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" refreshedDate="46118.416525925924" createdVersion="8" refreshedVersion="8" minRefreshableVersion="3" recordCount="506" xr:uid="{DF04BCC8-CEAB-4D7F-8902-9F108EAE80D5}">
  <cacheSource type="worksheet">
    <worksheetSource name="Table1[[INDUS]:[Room Tier]]"/>
  </cacheSource>
  <cacheFields count="15">
    <cacheField name="INDUS" numFmtId="0">
      <sharedItems containsSemiMixedTypes="0" containsString="0" containsNumber="1" minValue="0.46" maxValue="27.74"/>
    </cacheField>
    <cacheField name="CHAS" numFmtId="0">
      <sharedItems containsSemiMixedTypes="0" containsString="0" containsNumber="1" containsInteger="1" minValue="0" maxValue="1"/>
    </cacheField>
    <cacheField name="NOX" numFmtId="0">
      <sharedItems containsSemiMixedTypes="0" containsString="0" containsNumber="1" minValue="0.38500000000000001" maxValue="0.871"/>
    </cacheField>
    <cacheField name="RM" numFmtId="0">
      <sharedItems containsSemiMixedTypes="0" containsString="0" containsNumber="1" minValue="3.5609999999999999" maxValue="8.7799999999999994"/>
    </cacheField>
    <cacheField name="AGE" numFmtId="0">
      <sharedItems containsSemiMixedTypes="0" containsString="0" containsNumber="1" minValue="2.9" maxValue="100"/>
    </cacheField>
    <cacheField name="DIS" numFmtId="0">
      <sharedItems containsSemiMixedTypes="0" containsString="0" containsNumber="1" minValue="1.1295999999999999" maxValue="12.1265"/>
    </cacheField>
    <cacheField name="RAD" numFmtId="0">
      <sharedItems containsSemiMixedTypes="0" containsString="0" containsNumber="1" containsInteger="1" minValue="1" maxValue="24"/>
    </cacheField>
    <cacheField name="TAX" numFmtId="0">
      <sharedItems containsSemiMixedTypes="0" containsString="0" containsNumber="1" containsInteger="1" minValue="187" maxValue="711"/>
    </cacheField>
    <cacheField name="PTRATIO" numFmtId="0">
      <sharedItems containsSemiMixedTypes="0" containsString="0" containsNumber="1" minValue="12.6" maxValue="22"/>
    </cacheField>
    <cacheField name="B" numFmtId="0">
      <sharedItems containsSemiMixedTypes="0" containsString="0" containsNumber="1" minValue="0.32" maxValue="396.9"/>
    </cacheField>
    <cacheField name="LSTAT" numFmtId="0">
      <sharedItems containsSemiMixedTypes="0" containsString="0" containsNumber="1" minValue="1.73" maxValue="37.97"/>
    </cacheField>
    <cacheField name="MEDV" numFmtId="0">
      <sharedItems containsSemiMixedTypes="0" containsString="0" containsNumber="1" minValue="5" maxValue="50"/>
    </cacheField>
    <cacheField name="Price Category" numFmtId="0">
      <sharedItems count="3">
        <s v="Mid"/>
        <s v="High"/>
        <s v="Low"/>
      </sharedItems>
    </cacheField>
    <cacheField name="Crime Risk Band" numFmtId="0">
      <sharedItems count="3">
        <s v="Low"/>
        <s v="Medium"/>
        <s v="High"/>
      </sharedItems>
    </cacheField>
    <cacheField name="Room Tier" numFmtId="0">
      <sharedItems count="3">
        <s v="Large"/>
        <s v="Medium"/>
        <s v="Sma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6">
  <r>
    <n v="2.31"/>
    <n v="0"/>
    <n v="0.53800000000000003"/>
    <n v="6.5750000000000002"/>
    <n v="65.2"/>
    <n v="4.09"/>
    <n v="1"/>
    <n v="296"/>
    <n v="15.3"/>
    <n v="396.9"/>
    <n v="4.9800000000000004"/>
    <n v="24"/>
    <x v="0"/>
    <x v="0"/>
    <x v="0"/>
  </r>
  <r>
    <n v="7.07"/>
    <n v="0"/>
    <n v="0.46899999999999997"/>
    <n v="6.4210000000000003"/>
    <n v="78.900000000000006"/>
    <n v="4.9671000000000003"/>
    <n v="2"/>
    <n v="242"/>
    <n v="17.8"/>
    <n v="396.9"/>
    <n v="9.14"/>
    <n v="21.6"/>
    <x v="0"/>
    <x v="0"/>
    <x v="1"/>
  </r>
  <r>
    <n v="7.07"/>
    <n v="0"/>
    <n v="0.46899999999999997"/>
    <n v="7.1849999999999996"/>
    <n v="61.1"/>
    <n v="4.9671000000000003"/>
    <n v="2"/>
    <n v="242"/>
    <n v="17.8"/>
    <n v="392.83"/>
    <n v="4.03"/>
    <n v="34.700000000000003"/>
    <x v="1"/>
    <x v="0"/>
    <x v="0"/>
  </r>
  <r>
    <n v="2.1800000000000002"/>
    <n v="0"/>
    <n v="0.45800000000000002"/>
    <n v="6.9980000000000002"/>
    <n v="45.8"/>
    <n v="6.0621999999999998"/>
    <n v="3"/>
    <n v="222"/>
    <n v="18.7"/>
    <n v="394.63"/>
    <n v="2.94"/>
    <n v="33.4"/>
    <x v="1"/>
    <x v="0"/>
    <x v="0"/>
  </r>
  <r>
    <n v="2.1800000000000002"/>
    <n v="0"/>
    <n v="0.45800000000000002"/>
    <n v="7.1470000000000002"/>
    <n v="54.2"/>
    <n v="6.0621999999999998"/>
    <n v="3"/>
    <n v="222"/>
    <n v="18.7"/>
    <n v="396.9"/>
    <n v="5.33"/>
    <n v="36.200000000000003"/>
    <x v="1"/>
    <x v="0"/>
    <x v="0"/>
  </r>
  <r>
    <n v="2.1800000000000002"/>
    <n v="0"/>
    <n v="0.45800000000000002"/>
    <n v="6.43"/>
    <n v="58.7"/>
    <n v="6.0621999999999998"/>
    <n v="3"/>
    <n v="222"/>
    <n v="18.7"/>
    <n v="394.12"/>
    <n v="5.21"/>
    <n v="28.7"/>
    <x v="1"/>
    <x v="0"/>
    <x v="1"/>
  </r>
  <r>
    <n v="7.87"/>
    <n v="0"/>
    <n v="0.52400000000000002"/>
    <n v="6.0119999999999996"/>
    <n v="66.599999999999994"/>
    <n v="5.5605000000000002"/>
    <n v="5"/>
    <n v="311"/>
    <n v="15.2"/>
    <n v="395.6"/>
    <n v="12.43"/>
    <n v="22.9"/>
    <x v="0"/>
    <x v="0"/>
    <x v="1"/>
  </r>
  <r>
    <n v="7.87"/>
    <n v="0"/>
    <n v="0.52400000000000002"/>
    <n v="6.1719999999999997"/>
    <n v="96.1"/>
    <n v="5.9504999999999999"/>
    <n v="5"/>
    <n v="311"/>
    <n v="15.2"/>
    <n v="396.9"/>
    <n v="19.149999999999999"/>
    <n v="27.1"/>
    <x v="1"/>
    <x v="0"/>
    <x v="1"/>
  </r>
  <r>
    <n v="7.87"/>
    <n v="0"/>
    <n v="0.52400000000000002"/>
    <n v="5.6310000000000002"/>
    <n v="100"/>
    <n v="6.0820999999999996"/>
    <n v="5"/>
    <n v="311"/>
    <n v="15.2"/>
    <n v="386.63"/>
    <n v="29.93"/>
    <n v="16.5"/>
    <x v="0"/>
    <x v="0"/>
    <x v="1"/>
  </r>
  <r>
    <n v="7.87"/>
    <n v="0"/>
    <n v="0.52400000000000002"/>
    <n v="6.0039999999999996"/>
    <n v="85.9"/>
    <n v="6.5921000000000003"/>
    <n v="5"/>
    <n v="311"/>
    <n v="15.2"/>
    <n v="386.71"/>
    <n v="17.100000000000001"/>
    <n v="18.899999999999999"/>
    <x v="0"/>
    <x v="0"/>
    <x v="1"/>
  </r>
  <r>
    <n v="7.87"/>
    <n v="0"/>
    <n v="0.52400000000000002"/>
    <n v="6.3769999999999998"/>
    <n v="94.3"/>
    <n v="6.3467000000000002"/>
    <n v="5"/>
    <n v="311"/>
    <n v="15.2"/>
    <n v="392.52"/>
    <n v="20.45"/>
    <n v="15"/>
    <x v="2"/>
    <x v="0"/>
    <x v="1"/>
  </r>
  <r>
    <n v="7.87"/>
    <n v="0"/>
    <n v="0.52400000000000002"/>
    <n v="6.0090000000000003"/>
    <n v="82.9"/>
    <n v="6.2267000000000001"/>
    <n v="5"/>
    <n v="311"/>
    <n v="15.2"/>
    <n v="396.9"/>
    <n v="13.27"/>
    <n v="18.899999999999999"/>
    <x v="0"/>
    <x v="0"/>
    <x v="1"/>
  </r>
  <r>
    <n v="7.87"/>
    <n v="0"/>
    <n v="0.52400000000000002"/>
    <n v="5.8890000000000002"/>
    <n v="39"/>
    <n v="5.4508999999999999"/>
    <n v="5"/>
    <n v="311"/>
    <n v="15.2"/>
    <n v="390.5"/>
    <n v="15.71"/>
    <n v="21.7"/>
    <x v="0"/>
    <x v="0"/>
    <x v="1"/>
  </r>
  <r>
    <n v="8.14"/>
    <n v="0"/>
    <n v="0.53800000000000003"/>
    <n v="5.9489999999999998"/>
    <n v="61.8"/>
    <n v="4.7074999999999996"/>
    <n v="4"/>
    <n v="307"/>
    <n v="21"/>
    <n v="396.9"/>
    <n v="8.26"/>
    <n v="20.399999999999999"/>
    <x v="0"/>
    <x v="0"/>
    <x v="1"/>
  </r>
  <r>
    <n v="8.14"/>
    <n v="0"/>
    <n v="0.53800000000000003"/>
    <n v="6.0960000000000001"/>
    <n v="84.5"/>
    <n v="4.4619"/>
    <n v="4"/>
    <n v="307"/>
    <n v="21"/>
    <n v="380.02"/>
    <n v="10.26"/>
    <n v="18.2"/>
    <x v="0"/>
    <x v="0"/>
    <x v="1"/>
  </r>
  <r>
    <n v="8.14"/>
    <n v="0"/>
    <n v="0.53800000000000003"/>
    <n v="5.8339999999999996"/>
    <n v="56.5"/>
    <n v="4.4985999999999997"/>
    <n v="4"/>
    <n v="307"/>
    <n v="21"/>
    <n v="395.62"/>
    <n v="8.4700000000000006"/>
    <n v="19.899999999999999"/>
    <x v="0"/>
    <x v="0"/>
    <x v="1"/>
  </r>
  <r>
    <n v="8.14"/>
    <n v="0"/>
    <n v="0.53800000000000003"/>
    <n v="5.9349999999999996"/>
    <n v="29.3"/>
    <n v="4.4985999999999997"/>
    <n v="4"/>
    <n v="307"/>
    <n v="21"/>
    <n v="386.85"/>
    <n v="6.58"/>
    <n v="23.1"/>
    <x v="0"/>
    <x v="1"/>
    <x v="1"/>
  </r>
  <r>
    <n v="8.14"/>
    <n v="0"/>
    <n v="0.53800000000000003"/>
    <n v="5.99"/>
    <n v="81.7"/>
    <n v="4.2579000000000002"/>
    <n v="4"/>
    <n v="307"/>
    <n v="21"/>
    <n v="386.75"/>
    <n v="14.67"/>
    <n v="17.5"/>
    <x v="0"/>
    <x v="0"/>
    <x v="1"/>
  </r>
  <r>
    <n v="8.14"/>
    <n v="0"/>
    <n v="0.53800000000000003"/>
    <n v="5.4560000000000004"/>
    <n v="36.6"/>
    <n v="3.7965"/>
    <n v="4"/>
    <n v="307"/>
    <n v="21"/>
    <n v="288.99"/>
    <n v="11.69"/>
    <n v="20.2"/>
    <x v="0"/>
    <x v="0"/>
    <x v="2"/>
  </r>
  <r>
    <n v="8.14"/>
    <n v="0"/>
    <n v="0.53800000000000003"/>
    <n v="5.7270000000000003"/>
    <n v="69.5"/>
    <n v="3.7965"/>
    <n v="4"/>
    <n v="307"/>
    <n v="21"/>
    <n v="390.95"/>
    <n v="11.28"/>
    <n v="18.2"/>
    <x v="0"/>
    <x v="0"/>
    <x v="1"/>
  </r>
  <r>
    <n v="8.14"/>
    <n v="0"/>
    <n v="0.53800000000000003"/>
    <n v="5.57"/>
    <n v="98.1"/>
    <n v="3.7978999999999998"/>
    <n v="4"/>
    <n v="307"/>
    <n v="21"/>
    <n v="376.57"/>
    <n v="21.02"/>
    <n v="13.6"/>
    <x v="2"/>
    <x v="1"/>
    <x v="1"/>
  </r>
  <r>
    <n v="8.14"/>
    <n v="0"/>
    <n v="0.53800000000000003"/>
    <n v="5.9649999999999999"/>
    <n v="89.2"/>
    <n v="4.0122999999999998"/>
    <n v="4"/>
    <n v="307"/>
    <n v="21"/>
    <n v="392.53"/>
    <n v="13.83"/>
    <n v="19.600000000000001"/>
    <x v="0"/>
    <x v="0"/>
    <x v="1"/>
  </r>
  <r>
    <n v="8.14"/>
    <n v="0"/>
    <n v="0.53800000000000003"/>
    <n v="6.1420000000000003"/>
    <n v="91.7"/>
    <n v="3.9769000000000001"/>
    <n v="4"/>
    <n v="307"/>
    <n v="21"/>
    <n v="396.9"/>
    <n v="18.72"/>
    <n v="15.2"/>
    <x v="0"/>
    <x v="1"/>
    <x v="1"/>
  </r>
  <r>
    <n v="8.14"/>
    <n v="0"/>
    <n v="0.53800000000000003"/>
    <n v="5.8129999999999997"/>
    <n v="100"/>
    <n v="4.0952000000000002"/>
    <n v="4"/>
    <n v="307"/>
    <n v="21"/>
    <n v="394.54"/>
    <n v="19.88"/>
    <n v="14.5"/>
    <x v="2"/>
    <x v="0"/>
    <x v="1"/>
  </r>
  <r>
    <n v="8.14"/>
    <n v="0"/>
    <n v="0.53800000000000003"/>
    <n v="5.9240000000000004"/>
    <n v="94.1"/>
    <n v="4.3996000000000004"/>
    <n v="4"/>
    <n v="307"/>
    <n v="21"/>
    <n v="394.33"/>
    <n v="16.3"/>
    <n v="15.6"/>
    <x v="0"/>
    <x v="0"/>
    <x v="1"/>
  </r>
  <r>
    <n v="8.14"/>
    <n v="0"/>
    <n v="0.53800000000000003"/>
    <n v="5.5990000000000002"/>
    <n v="85.7"/>
    <n v="4.4546000000000001"/>
    <n v="4"/>
    <n v="307"/>
    <n v="21"/>
    <n v="303.42"/>
    <n v="16.510000000000002"/>
    <n v="13.9"/>
    <x v="2"/>
    <x v="0"/>
    <x v="1"/>
  </r>
  <r>
    <n v="8.14"/>
    <n v="0"/>
    <n v="0.53800000000000003"/>
    <n v="5.8129999999999997"/>
    <n v="90.3"/>
    <n v="4.6820000000000004"/>
    <n v="4"/>
    <n v="307"/>
    <n v="21"/>
    <n v="376.88"/>
    <n v="14.81"/>
    <n v="16.600000000000001"/>
    <x v="0"/>
    <x v="0"/>
    <x v="1"/>
  </r>
  <r>
    <n v="8.14"/>
    <n v="0"/>
    <n v="0.53800000000000003"/>
    <n v="6.0469999999999997"/>
    <n v="88.8"/>
    <n v="4.4534000000000002"/>
    <n v="4"/>
    <n v="307"/>
    <n v="21"/>
    <n v="306.38"/>
    <n v="17.28"/>
    <n v="14.8"/>
    <x v="2"/>
    <x v="0"/>
    <x v="1"/>
  </r>
  <r>
    <n v="8.14"/>
    <n v="0"/>
    <n v="0.53800000000000003"/>
    <n v="6.4950000000000001"/>
    <n v="94.4"/>
    <n v="4.4546999999999999"/>
    <n v="4"/>
    <n v="307"/>
    <n v="21"/>
    <n v="387.94"/>
    <n v="12.8"/>
    <n v="18.399999999999999"/>
    <x v="0"/>
    <x v="0"/>
    <x v="1"/>
  </r>
  <r>
    <n v="8.14"/>
    <n v="0"/>
    <n v="0.53800000000000003"/>
    <n v="6.6740000000000004"/>
    <n v="87.3"/>
    <n v="4.2389999999999999"/>
    <n v="4"/>
    <n v="307"/>
    <n v="21"/>
    <n v="380.23"/>
    <n v="11.98"/>
    <n v="21"/>
    <x v="0"/>
    <x v="1"/>
    <x v="0"/>
  </r>
  <r>
    <n v="8.14"/>
    <n v="0"/>
    <n v="0.53800000000000003"/>
    <n v="5.7130000000000001"/>
    <n v="94.1"/>
    <n v="4.2329999999999997"/>
    <n v="4"/>
    <n v="307"/>
    <n v="21"/>
    <n v="360.17"/>
    <n v="22.6"/>
    <n v="12.7"/>
    <x v="2"/>
    <x v="1"/>
    <x v="1"/>
  </r>
  <r>
    <n v="8.14"/>
    <n v="0"/>
    <n v="0.53800000000000003"/>
    <n v="6.0720000000000001"/>
    <n v="100"/>
    <n v="4.1749999999999998"/>
    <n v="4"/>
    <n v="307"/>
    <n v="21"/>
    <n v="376.73"/>
    <n v="13.04"/>
    <n v="14.5"/>
    <x v="2"/>
    <x v="1"/>
    <x v="1"/>
  </r>
  <r>
    <n v="8.14"/>
    <n v="0"/>
    <n v="0.53800000000000003"/>
    <n v="5.95"/>
    <n v="82"/>
    <n v="3.99"/>
    <n v="4"/>
    <n v="307"/>
    <n v="21"/>
    <n v="232.6"/>
    <n v="27.71"/>
    <n v="13.2"/>
    <x v="2"/>
    <x v="1"/>
    <x v="1"/>
  </r>
  <r>
    <n v="8.14"/>
    <n v="0"/>
    <n v="0.53800000000000003"/>
    <n v="5.7009999999999996"/>
    <n v="95"/>
    <n v="3.7871999999999999"/>
    <n v="4"/>
    <n v="307"/>
    <n v="21"/>
    <n v="358.77"/>
    <n v="18.350000000000001"/>
    <n v="13.1"/>
    <x v="2"/>
    <x v="1"/>
    <x v="1"/>
  </r>
  <r>
    <n v="8.14"/>
    <n v="0"/>
    <n v="0.53800000000000003"/>
    <n v="6.0960000000000001"/>
    <n v="96.9"/>
    <n v="3.7597999999999998"/>
    <n v="4"/>
    <n v="307"/>
    <n v="21"/>
    <n v="248.31"/>
    <n v="20.34"/>
    <n v="13.5"/>
    <x v="2"/>
    <x v="1"/>
    <x v="1"/>
  </r>
  <r>
    <n v="5.96"/>
    <n v="0"/>
    <n v="0.499"/>
    <n v="5.9329999999999998"/>
    <n v="68.2"/>
    <n v="3.3603000000000001"/>
    <n v="5"/>
    <n v="279"/>
    <n v="19.2"/>
    <n v="396.9"/>
    <n v="9.68"/>
    <n v="18.899999999999999"/>
    <x v="0"/>
    <x v="0"/>
    <x v="1"/>
  </r>
  <r>
    <n v="5.96"/>
    <n v="0"/>
    <n v="0.499"/>
    <n v="5.8410000000000002"/>
    <n v="61.4"/>
    <n v="3.3778999999999999"/>
    <n v="5"/>
    <n v="279"/>
    <n v="19.2"/>
    <n v="377.56"/>
    <n v="11.41"/>
    <n v="20"/>
    <x v="0"/>
    <x v="0"/>
    <x v="1"/>
  </r>
  <r>
    <n v="5.96"/>
    <n v="0"/>
    <n v="0.499"/>
    <n v="5.85"/>
    <n v="41.5"/>
    <n v="3.9342000000000001"/>
    <n v="5"/>
    <n v="279"/>
    <n v="19.2"/>
    <n v="396.9"/>
    <n v="8.77"/>
    <n v="21"/>
    <x v="0"/>
    <x v="0"/>
    <x v="1"/>
  </r>
  <r>
    <n v="5.96"/>
    <n v="0"/>
    <n v="0.499"/>
    <n v="5.9660000000000002"/>
    <n v="30.2"/>
    <n v="3.8473000000000002"/>
    <n v="5"/>
    <n v="279"/>
    <n v="19.2"/>
    <n v="393.43"/>
    <n v="10.130000000000001"/>
    <n v="24.7"/>
    <x v="0"/>
    <x v="0"/>
    <x v="1"/>
  </r>
  <r>
    <n v="2.95"/>
    <n v="0"/>
    <n v="0.42799999999999999"/>
    <n v="6.5949999999999998"/>
    <n v="21.8"/>
    <n v="5.4010999999999996"/>
    <n v="3"/>
    <n v="252"/>
    <n v="18.3"/>
    <n v="395.63"/>
    <n v="4.32"/>
    <n v="30.8"/>
    <x v="1"/>
    <x v="0"/>
    <x v="0"/>
  </r>
  <r>
    <n v="2.95"/>
    <n v="0"/>
    <n v="0.42799999999999999"/>
    <n v="7.024"/>
    <n v="15.8"/>
    <n v="5.4010999999999996"/>
    <n v="3"/>
    <n v="252"/>
    <n v="18.3"/>
    <n v="395.62"/>
    <n v="1.98"/>
    <n v="34.9"/>
    <x v="1"/>
    <x v="0"/>
    <x v="0"/>
  </r>
  <r>
    <n v="6.91"/>
    <n v="0"/>
    <n v="0.44800000000000001"/>
    <n v="6.77"/>
    <n v="2.9"/>
    <n v="5.7209000000000003"/>
    <n v="3"/>
    <n v="233"/>
    <n v="17.899999999999999"/>
    <n v="385.41"/>
    <n v="4.84"/>
    <n v="26.6"/>
    <x v="1"/>
    <x v="0"/>
    <x v="0"/>
  </r>
  <r>
    <n v="6.91"/>
    <n v="0"/>
    <n v="0.44800000000000001"/>
    <n v="6.1689999999999996"/>
    <n v="6.6"/>
    <n v="5.7209000000000003"/>
    <n v="3"/>
    <n v="233"/>
    <n v="17.899999999999999"/>
    <n v="383.37"/>
    <n v="5.81"/>
    <n v="25.3"/>
    <x v="1"/>
    <x v="0"/>
    <x v="1"/>
  </r>
  <r>
    <n v="6.91"/>
    <n v="0"/>
    <n v="0.44800000000000001"/>
    <n v="6.2110000000000003"/>
    <n v="6.5"/>
    <n v="5.7209000000000003"/>
    <n v="3"/>
    <n v="233"/>
    <n v="17.899999999999999"/>
    <n v="394.46"/>
    <n v="7.44"/>
    <n v="24.7"/>
    <x v="0"/>
    <x v="0"/>
    <x v="1"/>
  </r>
  <r>
    <n v="6.91"/>
    <n v="0"/>
    <n v="0.44800000000000001"/>
    <n v="6.069"/>
    <n v="40"/>
    <n v="5.7209000000000003"/>
    <n v="3"/>
    <n v="233"/>
    <n v="17.899999999999999"/>
    <n v="389.39"/>
    <n v="9.5500000000000007"/>
    <n v="21.2"/>
    <x v="0"/>
    <x v="0"/>
    <x v="1"/>
  </r>
  <r>
    <n v="6.91"/>
    <n v="0"/>
    <n v="0.44800000000000001"/>
    <n v="5.6820000000000004"/>
    <n v="33.799999999999997"/>
    <n v="5.1003999999999996"/>
    <n v="3"/>
    <n v="233"/>
    <n v="17.899999999999999"/>
    <n v="396.9"/>
    <n v="10.210000000000001"/>
    <n v="19.3"/>
    <x v="0"/>
    <x v="0"/>
    <x v="1"/>
  </r>
  <r>
    <n v="6.91"/>
    <n v="0"/>
    <n v="0.44800000000000001"/>
    <n v="5.7859999999999996"/>
    <n v="33.299999999999997"/>
    <n v="5.1003999999999996"/>
    <n v="3"/>
    <n v="233"/>
    <n v="17.899999999999999"/>
    <n v="396.9"/>
    <n v="14.15"/>
    <n v="20"/>
    <x v="0"/>
    <x v="0"/>
    <x v="1"/>
  </r>
  <r>
    <n v="6.91"/>
    <n v="0"/>
    <n v="0.44800000000000001"/>
    <n v="6.03"/>
    <n v="85.5"/>
    <n v="5.6894"/>
    <n v="3"/>
    <n v="233"/>
    <n v="17.899999999999999"/>
    <n v="392.74"/>
    <n v="18.8"/>
    <n v="16.600000000000001"/>
    <x v="0"/>
    <x v="0"/>
    <x v="1"/>
  </r>
  <r>
    <n v="6.91"/>
    <n v="0"/>
    <n v="0.44800000000000001"/>
    <n v="5.399"/>
    <n v="95.3"/>
    <n v="5.87"/>
    <n v="3"/>
    <n v="233"/>
    <n v="17.899999999999999"/>
    <n v="396.9"/>
    <n v="30.81"/>
    <n v="14.4"/>
    <x v="2"/>
    <x v="0"/>
    <x v="2"/>
  </r>
  <r>
    <n v="6.91"/>
    <n v="0"/>
    <n v="0.44800000000000001"/>
    <n v="5.6020000000000003"/>
    <n v="62"/>
    <n v="6.0876999999999999"/>
    <n v="3"/>
    <n v="233"/>
    <n v="17.899999999999999"/>
    <n v="396.9"/>
    <n v="16.2"/>
    <n v="19.399999999999999"/>
    <x v="0"/>
    <x v="0"/>
    <x v="1"/>
  </r>
  <r>
    <n v="5.64"/>
    <n v="0"/>
    <n v="0.439"/>
    <n v="5.9630000000000001"/>
    <n v="45.7"/>
    <n v="6.8147000000000002"/>
    <n v="4"/>
    <n v="243"/>
    <n v="16.8"/>
    <n v="395.56"/>
    <n v="13.45"/>
    <n v="19.7"/>
    <x v="0"/>
    <x v="0"/>
    <x v="1"/>
  </r>
  <r>
    <n v="5.64"/>
    <n v="0"/>
    <n v="0.439"/>
    <n v="6.1150000000000002"/>
    <n v="63"/>
    <n v="6.8147000000000002"/>
    <n v="4"/>
    <n v="243"/>
    <n v="16.8"/>
    <n v="393.97"/>
    <n v="9.43"/>
    <n v="20.5"/>
    <x v="0"/>
    <x v="0"/>
    <x v="1"/>
  </r>
  <r>
    <n v="5.64"/>
    <n v="0"/>
    <n v="0.439"/>
    <n v="6.5110000000000001"/>
    <n v="21.1"/>
    <n v="6.8147000000000002"/>
    <n v="4"/>
    <n v="243"/>
    <n v="16.8"/>
    <n v="396.9"/>
    <n v="5.28"/>
    <n v="25"/>
    <x v="0"/>
    <x v="0"/>
    <x v="0"/>
  </r>
  <r>
    <n v="5.64"/>
    <n v="0"/>
    <n v="0.439"/>
    <n v="5.9980000000000002"/>
    <n v="21.4"/>
    <n v="6.8147000000000002"/>
    <n v="4"/>
    <n v="243"/>
    <n v="16.8"/>
    <n v="396.9"/>
    <n v="8.43"/>
    <n v="23.4"/>
    <x v="0"/>
    <x v="0"/>
    <x v="1"/>
  </r>
  <r>
    <n v="4"/>
    <n v="0"/>
    <n v="0.41"/>
    <n v="5.8879999999999999"/>
    <n v="47.6"/>
    <n v="7.3197000000000001"/>
    <n v="3"/>
    <n v="469"/>
    <n v="21.1"/>
    <n v="396.9"/>
    <n v="14.8"/>
    <n v="18.899999999999999"/>
    <x v="0"/>
    <x v="0"/>
    <x v="1"/>
  </r>
  <r>
    <n v="1.22"/>
    <n v="0"/>
    <n v="0.40300000000000002"/>
    <n v="7.2489999999999997"/>
    <n v="21.9"/>
    <n v="8.6966000000000001"/>
    <n v="5"/>
    <n v="226"/>
    <n v="17.899999999999999"/>
    <n v="395.93"/>
    <n v="4.8099999999999996"/>
    <n v="35.4"/>
    <x v="1"/>
    <x v="0"/>
    <x v="0"/>
  </r>
  <r>
    <n v="0.74"/>
    <n v="0"/>
    <n v="0.41"/>
    <n v="6.383"/>
    <n v="35.700000000000003"/>
    <n v="9.1875999999999998"/>
    <n v="2"/>
    <n v="313"/>
    <n v="17.3"/>
    <n v="396.9"/>
    <n v="5.77"/>
    <n v="24.7"/>
    <x v="0"/>
    <x v="0"/>
    <x v="1"/>
  </r>
  <r>
    <n v="1.32"/>
    <n v="0"/>
    <n v="0.41099999999999998"/>
    <n v="6.8159999999999998"/>
    <n v="40.5"/>
    <n v="8.3247999999999998"/>
    <n v="5"/>
    <n v="256"/>
    <n v="15.1"/>
    <n v="392.9"/>
    <n v="3.95"/>
    <n v="31.6"/>
    <x v="1"/>
    <x v="0"/>
    <x v="0"/>
  </r>
  <r>
    <n v="5.13"/>
    <n v="0"/>
    <n v="0.45300000000000001"/>
    <n v="6.1449999999999996"/>
    <n v="29.2"/>
    <n v="7.8148"/>
    <n v="8"/>
    <n v="284"/>
    <n v="19.7"/>
    <n v="390.68"/>
    <n v="6.86"/>
    <n v="23.3"/>
    <x v="0"/>
    <x v="0"/>
    <x v="1"/>
  </r>
  <r>
    <n v="5.13"/>
    <n v="0"/>
    <n v="0.45300000000000001"/>
    <n v="5.9269999999999996"/>
    <n v="47.2"/>
    <n v="6.9320000000000004"/>
    <n v="8"/>
    <n v="284"/>
    <n v="19.7"/>
    <n v="396.9"/>
    <n v="9.2200000000000006"/>
    <n v="19.600000000000001"/>
    <x v="0"/>
    <x v="0"/>
    <x v="1"/>
  </r>
  <r>
    <n v="5.13"/>
    <n v="0"/>
    <n v="0.45300000000000001"/>
    <n v="5.7409999999999997"/>
    <n v="66.2"/>
    <n v="7.2253999999999996"/>
    <n v="8"/>
    <n v="284"/>
    <n v="19.7"/>
    <n v="395.11"/>
    <n v="13.15"/>
    <n v="18.7"/>
    <x v="0"/>
    <x v="0"/>
    <x v="1"/>
  </r>
  <r>
    <n v="5.13"/>
    <n v="0"/>
    <n v="0.45300000000000001"/>
    <n v="5.9660000000000002"/>
    <n v="93.4"/>
    <n v="6.8185000000000002"/>
    <n v="8"/>
    <n v="284"/>
    <n v="19.7"/>
    <n v="378.08"/>
    <n v="14.44"/>
    <n v="16"/>
    <x v="0"/>
    <x v="0"/>
    <x v="1"/>
  </r>
  <r>
    <n v="5.13"/>
    <n v="0"/>
    <n v="0.45300000000000001"/>
    <n v="6.4560000000000004"/>
    <n v="67.8"/>
    <n v="7.2255000000000003"/>
    <n v="8"/>
    <n v="284"/>
    <n v="19.7"/>
    <n v="396.9"/>
    <n v="6.73"/>
    <n v="22.2"/>
    <x v="0"/>
    <x v="0"/>
    <x v="1"/>
  </r>
  <r>
    <n v="5.13"/>
    <n v="0"/>
    <n v="0.45300000000000001"/>
    <n v="6.7619999999999996"/>
    <n v="43.4"/>
    <n v="7.9809000000000001"/>
    <n v="8"/>
    <n v="284"/>
    <n v="19.7"/>
    <n v="395.58"/>
    <n v="9.5"/>
    <n v="25"/>
    <x v="0"/>
    <x v="0"/>
    <x v="0"/>
  </r>
  <r>
    <n v="1.38"/>
    <n v="0"/>
    <n v="0.41610000000000003"/>
    <n v="7.1040000000000001"/>
    <n v="59.5"/>
    <n v="9.2228999999999992"/>
    <n v="3"/>
    <n v="216"/>
    <n v="18.600000000000001"/>
    <n v="393.24"/>
    <n v="8.0500000000000007"/>
    <n v="33"/>
    <x v="1"/>
    <x v="0"/>
    <x v="0"/>
  </r>
  <r>
    <n v="3.37"/>
    <n v="0"/>
    <n v="0.39800000000000002"/>
    <n v="6.29"/>
    <n v="17.8"/>
    <n v="6.6115000000000004"/>
    <n v="4"/>
    <n v="337"/>
    <n v="16.100000000000001"/>
    <n v="396.9"/>
    <n v="4.67"/>
    <n v="23.5"/>
    <x v="0"/>
    <x v="0"/>
    <x v="1"/>
  </r>
  <r>
    <n v="3.37"/>
    <n v="0"/>
    <n v="0.39800000000000002"/>
    <n v="5.7869999999999999"/>
    <n v="31.1"/>
    <n v="6.6115000000000004"/>
    <n v="4"/>
    <n v="337"/>
    <n v="16.100000000000001"/>
    <n v="396.9"/>
    <n v="10.24"/>
    <n v="19.399999999999999"/>
    <x v="0"/>
    <x v="0"/>
    <x v="1"/>
  </r>
  <r>
    <n v="6.07"/>
    <n v="0"/>
    <n v="0.40899999999999997"/>
    <n v="5.8780000000000001"/>
    <n v="21.4"/>
    <n v="6.4980000000000002"/>
    <n v="4"/>
    <n v="345"/>
    <n v="18.899999999999999"/>
    <n v="396.21"/>
    <n v="8.1"/>
    <n v="22"/>
    <x v="0"/>
    <x v="0"/>
    <x v="1"/>
  </r>
  <r>
    <n v="6.07"/>
    <n v="0"/>
    <n v="0.40899999999999997"/>
    <n v="5.5940000000000003"/>
    <n v="36.799999999999997"/>
    <n v="6.4980000000000002"/>
    <n v="4"/>
    <n v="345"/>
    <n v="18.899999999999999"/>
    <n v="396.9"/>
    <n v="13.09"/>
    <n v="17.399999999999999"/>
    <x v="0"/>
    <x v="0"/>
    <x v="1"/>
  </r>
  <r>
    <n v="6.07"/>
    <n v="0"/>
    <n v="0.40899999999999997"/>
    <n v="5.8849999999999998"/>
    <n v="33"/>
    <n v="6.4980000000000002"/>
    <n v="4"/>
    <n v="345"/>
    <n v="18.899999999999999"/>
    <n v="396.9"/>
    <n v="8.7899999999999991"/>
    <n v="20.9"/>
    <x v="0"/>
    <x v="0"/>
    <x v="1"/>
  </r>
  <r>
    <n v="10.81"/>
    <n v="0"/>
    <n v="0.41299999999999998"/>
    <n v="6.4169999999999998"/>
    <n v="6.6"/>
    <n v="5.2873000000000001"/>
    <n v="4"/>
    <n v="305"/>
    <n v="19.2"/>
    <n v="383.73"/>
    <n v="6.72"/>
    <n v="24.2"/>
    <x v="0"/>
    <x v="0"/>
    <x v="1"/>
  </r>
  <r>
    <n v="10.81"/>
    <n v="0"/>
    <n v="0.41299999999999998"/>
    <n v="5.9610000000000003"/>
    <n v="17.5"/>
    <n v="5.2873000000000001"/>
    <n v="4"/>
    <n v="305"/>
    <n v="19.2"/>
    <n v="376.94"/>
    <n v="9.8800000000000008"/>
    <n v="21.7"/>
    <x v="0"/>
    <x v="0"/>
    <x v="1"/>
  </r>
  <r>
    <n v="10.81"/>
    <n v="0"/>
    <n v="0.41299999999999998"/>
    <n v="6.0650000000000004"/>
    <n v="7.8"/>
    <n v="5.2873000000000001"/>
    <n v="4"/>
    <n v="305"/>
    <n v="19.2"/>
    <n v="390.91"/>
    <n v="5.52"/>
    <n v="22.8"/>
    <x v="0"/>
    <x v="0"/>
    <x v="1"/>
  </r>
  <r>
    <n v="10.81"/>
    <n v="0"/>
    <n v="0.41299999999999998"/>
    <n v="6.2450000000000001"/>
    <n v="6.2"/>
    <n v="5.2873000000000001"/>
    <n v="4"/>
    <n v="305"/>
    <n v="19.2"/>
    <n v="377.17"/>
    <n v="7.54"/>
    <n v="23.4"/>
    <x v="0"/>
    <x v="0"/>
    <x v="1"/>
  </r>
  <r>
    <n v="12.83"/>
    <n v="0"/>
    <n v="0.437"/>
    <n v="6.2729999999999997"/>
    <n v="6"/>
    <n v="4.2515000000000001"/>
    <n v="5"/>
    <n v="398"/>
    <n v="18.7"/>
    <n v="394.92"/>
    <n v="6.78"/>
    <n v="24.1"/>
    <x v="0"/>
    <x v="0"/>
    <x v="1"/>
  </r>
  <r>
    <n v="12.83"/>
    <n v="0"/>
    <n v="0.437"/>
    <n v="6.2859999999999996"/>
    <n v="45"/>
    <n v="4.5026000000000002"/>
    <n v="5"/>
    <n v="398"/>
    <n v="18.7"/>
    <n v="383.23"/>
    <n v="8.94"/>
    <n v="21.4"/>
    <x v="0"/>
    <x v="0"/>
    <x v="1"/>
  </r>
  <r>
    <n v="12.83"/>
    <n v="0"/>
    <n v="0.437"/>
    <n v="6.2789999999999999"/>
    <n v="74.5"/>
    <n v="4.0522"/>
    <n v="5"/>
    <n v="398"/>
    <n v="18.7"/>
    <n v="373.66"/>
    <n v="11.97"/>
    <n v="20"/>
    <x v="0"/>
    <x v="0"/>
    <x v="1"/>
  </r>
  <r>
    <n v="12.83"/>
    <n v="0"/>
    <n v="0.437"/>
    <n v="6.14"/>
    <n v="45.8"/>
    <n v="4.0904999999999996"/>
    <n v="5"/>
    <n v="398"/>
    <n v="18.7"/>
    <n v="386.96"/>
    <n v="10.27"/>
    <n v="20.8"/>
    <x v="0"/>
    <x v="0"/>
    <x v="1"/>
  </r>
  <r>
    <n v="12.83"/>
    <n v="0"/>
    <n v="0.437"/>
    <n v="6.2320000000000002"/>
    <n v="53.7"/>
    <n v="5.0141"/>
    <n v="5"/>
    <n v="398"/>
    <n v="18.7"/>
    <n v="386.4"/>
    <n v="12.34"/>
    <n v="21.2"/>
    <x v="0"/>
    <x v="0"/>
    <x v="1"/>
  </r>
  <r>
    <n v="12.83"/>
    <n v="0"/>
    <n v="0.437"/>
    <n v="5.8739999999999997"/>
    <n v="36.6"/>
    <n v="4.5026000000000002"/>
    <n v="5"/>
    <n v="398"/>
    <n v="18.7"/>
    <n v="396.06"/>
    <n v="9.1"/>
    <n v="20.3"/>
    <x v="0"/>
    <x v="0"/>
    <x v="1"/>
  </r>
  <r>
    <n v="4.8600000000000003"/>
    <n v="0"/>
    <n v="0.42599999999999999"/>
    <n v="6.7270000000000003"/>
    <n v="33.5"/>
    <n v="5.4006999999999996"/>
    <n v="4"/>
    <n v="281"/>
    <n v="19"/>
    <n v="396.9"/>
    <n v="5.29"/>
    <n v="28"/>
    <x v="1"/>
    <x v="0"/>
    <x v="0"/>
  </r>
  <r>
    <n v="4.8600000000000003"/>
    <n v="0"/>
    <n v="0.42599999999999999"/>
    <n v="6.6189999999999998"/>
    <n v="70.400000000000006"/>
    <n v="5.4006999999999996"/>
    <n v="4"/>
    <n v="281"/>
    <n v="19"/>
    <n v="395.63"/>
    <n v="7.22"/>
    <n v="23.9"/>
    <x v="0"/>
    <x v="0"/>
    <x v="0"/>
  </r>
  <r>
    <n v="4.8600000000000003"/>
    <n v="0"/>
    <n v="0.42599999999999999"/>
    <n v="6.3019999999999996"/>
    <n v="32.200000000000003"/>
    <n v="5.4006999999999996"/>
    <n v="4"/>
    <n v="281"/>
    <n v="19"/>
    <n v="396.9"/>
    <n v="6.72"/>
    <n v="24.8"/>
    <x v="0"/>
    <x v="0"/>
    <x v="1"/>
  </r>
  <r>
    <n v="4.8600000000000003"/>
    <n v="0"/>
    <n v="0.42599999999999999"/>
    <n v="6.1669999999999998"/>
    <n v="46.7"/>
    <n v="5.4006999999999996"/>
    <n v="4"/>
    <n v="281"/>
    <n v="19"/>
    <n v="390.64"/>
    <n v="7.51"/>
    <n v="22.9"/>
    <x v="0"/>
    <x v="0"/>
    <x v="1"/>
  </r>
  <r>
    <n v="4.49"/>
    <n v="0"/>
    <n v="0.44900000000000001"/>
    <n v="6.3890000000000002"/>
    <n v="48"/>
    <n v="4.7793999999999999"/>
    <n v="3"/>
    <n v="247"/>
    <n v="18.5"/>
    <n v="396.9"/>
    <n v="9.6199999999999992"/>
    <n v="23.9"/>
    <x v="0"/>
    <x v="0"/>
    <x v="1"/>
  </r>
  <r>
    <n v="4.49"/>
    <n v="0"/>
    <n v="0.44900000000000001"/>
    <n v="6.63"/>
    <n v="56.1"/>
    <n v="4.4377000000000004"/>
    <n v="3"/>
    <n v="247"/>
    <n v="18.5"/>
    <n v="392.3"/>
    <n v="6.53"/>
    <n v="26.6"/>
    <x v="1"/>
    <x v="0"/>
    <x v="0"/>
  </r>
  <r>
    <n v="4.49"/>
    <n v="0"/>
    <n v="0.44900000000000001"/>
    <n v="6.0149999999999997"/>
    <n v="45.1"/>
    <n v="4.4272"/>
    <n v="3"/>
    <n v="247"/>
    <n v="18.5"/>
    <n v="395.99"/>
    <n v="12.86"/>
    <n v="22.5"/>
    <x v="0"/>
    <x v="0"/>
    <x v="1"/>
  </r>
  <r>
    <n v="4.49"/>
    <n v="0"/>
    <n v="0.44900000000000001"/>
    <n v="6.1210000000000004"/>
    <n v="56.8"/>
    <n v="3.7475999999999998"/>
    <n v="3"/>
    <n v="247"/>
    <n v="18.5"/>
    <n v="395.15"/>
    <n v="8.44"/>
    <n v="22.2"/>
    <x v="0"/>
    <x v="0"/>
    <x v="1"/>
  </r>
  <r>
    <n v="3.41"/>
    <n v="0"/>
    <n v="0.48899999999999999"/>
    <n v="7.0069999999999997"/>
    <n v="86.3"/>
    <n v="3.4217"/>
    <n v="2"/>
    <n v="270"/>
    <n v="17.8"/>
    <n v="396.9"/>
    <n v="5.5"/>
    <n v="23.6"/>
    <x v="0"/>
    <x v="0"/>
    <x v="0"/>
  </r>
  <r>
    <n v="3.41"/>
    <n v="0"/>
    <n v="0.48899999999999999"/>
    <n v="7.0789999999999997"/>
    <n v="63.1"/>
    <n v="3.4144999999999999"/>
    <n v="2"/>
    <n v="270"/>
    <n v="17.8"/>
    <n v="396.06"/>
    <n v="5.7"/>
    <n v="28.7"/>
    <x v="1"/>
    <x v="0"/>
    <x v="0"/>
  </r>
  <r>
    <n v="3.41"/>
    <n v="0"/>
    <n v="0.48899999999999999"/>
    <n v="6.4169999999999998"/>
    <n v="66.099999999999994"/>
    <n v="3.0922999999999998"/>
    <n v="2"/>
    <n v="270"/>
    <n v="17.8"/>
    <n v="392.18"/>
    <n v="8.81"/>
    <n v="22.6"/>
    <x v="0"/>
    <x v="0"/>
    <x v="1"/>
  </r>
  <r>
    <n v="3.41"/>
    <n v="0"/>
    <n v="0.48899999999999999"/>
    <n v="6.4050000000000002"/>
    <n v="73.900000000000006"/>
    <n v="3.0920999999999998"/>
    <n v="2"/>
    <n v="270"/>
    <n v="17.8"/>
    <n v="393.55"/>
    <n v="8.1999999999999993"/>
    <n v="22"/>
    <x v="0"/>
    <x v="0"/>
    <x v="1"/>
  </r>
  <r>
    <n v="15.04"/>
    <n v="0"/>
    <n v="0.46400000000000002"/>
    <n v="6.4420000000000002"/>
    <n v="53.6"/>
    <n v="3.6659000000000002"/>
    <n v="4"/>
    <n v="270"/>
    <n v="18.2"/>
    <n v="395.01"/>
    <n v="8.16"/>
    <n v="22.9"/>
    <x v="0"/>
    <x v="0"/>
    <x v="1"/>
  </r>
  <r>
    <n v="15.04"/>
    <n v="0"/>
    <n v="0.46400000000000002"/>
    <n v="6.2110000000000003"/>
    <n v="28.9"/>
    <n v="3.6659000000000002"/>
    <n v="4"/>
    <n v="270"/>
    <n v="18.2"/>
    <n v="396.33"/>
    <n v="6.21"/>
    <n v="25"/>
    <x v="0"/>
    <x v="0"/>
    <x v="1"/>
  </r>
  <r>
    <n v="15.04"/>
    <n v="0"/>
    <n v="0.46400000000000002"/>
    <n v="6.2489999999999997"/>
    <n v="77.3"/>
    <n v="3.6150000000000002"/>
    <n v="4"/>
    <n v="270"/>
    <n v="18.2"/>
    <n v="396.9"/>
    <n v="10.59"/>
    <n v="20.6"/>
    <x v="0"/>
    <x v="0"/>
    <x v="1"/>
  </r>
  <r>
    <n v="2.89"/>
    <n v="0"/>
    <n v="0.44500000000000001"/>
    <n v="6.625"/>
    <n v="57.8"/>
    <n v="3.4952000000000001"/>
    <n v="2"/>
    <n v="276"/>
    <n v="18"/>
    <n v="357.98"/>
    <n v="6.65"/>
    <n v="28.4"/>
    <x v="1"/>
    <x v="0"/>
    <x v="0"/>
  </r>
  <r>
    <n v="2.89"/>
    <n v="0"/>
    <n v="0.44500000000000001"/>
    <n v="6.1630000000000003"/>
    <n v="69.599999999999994"/>
    <n v="3.4952000000000001"/>
    <n v="2"/>
    <n v="276"/>
    <n v="18"/>
    <n v="391.83"/>
    <n v="11.34"/>
    <n v="21.4"/>
    <x v="0"/>
    <x v="0"/>
    <x v="1"/>
  </r>
  <r>
    <n v="2.89"/>
    <n v="0"/>
    <n v="0.44500000000000001"/>
    <n v="8.0690000000000008"/>
    <n v="76"/>
    <n v="3.4952000000000001"/>
    <n v="2"/>
    <n v="276"/>
    <n v="18"/>
    <n v="396.9"/>
    <n v="4.21"/>
    <n v="38.700000000000003"/>
    <x v="1"/>
    <x v="0"/>
    <x v="0"/>
  </r>
  <r>
    <n v="2.89"/>
    <n v="0"/>
    <n v="0.44500000000000001"/>
    <n v="7.82"/>
    <n v="36.9"/>
    <n v="3.4952000000000001"/>
    <n v="2"/>
    <n v="276"/>
    <n v="18"/>
    <n v="393.53"/>
    <n v="3.57"/>
    <n v="43.8"/>
    <x v="1"/>
    <x v="0"/>
    <x v="0"/>
  </r>
  <r>
    <n v="2.89"/>
    <n v="0"/>
    <n v="0.44500000000000001"/>
    <n v="7.4160000000000004"/>
    <n v="62.5"/>
    <n v="3.4952000000000001"/>
    <n v="2"/>
    <n v="276"/>
    <n v="18"/>
    <n v="396.9"/>
    <n v="6.19"/>
    <n v="33.200000000000003"/>
    <x v="1"/>
    <x v="0"/>
    <x v="0"/>
  </r>
  <r>
    <n v="8.56"/>
    <n v="0"/>
    <n v="0.52"/>
    <n v="6.7270000000000003"/>
    <n v="79.900000000000006"/>
    <n v="2.7778"/>
    <n v="5"/>
    <n v="384"/>
    <n v="20.9"/>
    <n v="394.76"/>
    <n v="9.42"/>
    <n v="27.5"/>
    <x v="1"/>
    <x v="0"/>
    <x v="0"/>
  </r>
  <r>
    <n v="8.56"/>
    <n v="0"/>
    <n v="0.52"/>
    <n v="6.7809999999999997"/>
    <n v="71.3"/>
    <n v="2.8561000000000001"/>
    <n v="5"/>
    <n v="384"/>
    <n v="20.9"/>
    <n v="395.58"/>
    <n v="7.67"/>
    <n v="26.5"/>
    <x v="1"/>
    <x v="0"/>
    <x v="0"/>
  </r>
  <r>
    <n v="8.56"/>
    <n v="0"/>
    <n v="0.52"/>
    <n v="6.4050000000000002"/>
    <n v="85.4"/>
    <n v="2.7147000000000001"/>
    <n v="5"/>
    <n v="384"/>
    <n v="20.9"/>
    <n v="70.8"/>
    <n v="10.63"/>
    <n v="18.600000000000001"/>
    <x v="0"/>
    <x v="0"/>
    <x v="1"/>
  </r>
  <r>
    <n v="8.56"/>
    <n v="0"/>
    <n v="0.52"/>
    <n v="6.1369999999999996"/>
    <n v="87.4"/>
    <n v="2.7147000000000001"/>
    <n v="5"/>
    <n v="384"/>
    <n v="20.9"/>
    <n v="394.47"/>
    <n v="13.44"/>
    <n v="19.3"/>
    <x v="0"/>
    <x v="0"/>
    <x v="1"/>
  </r>
  <r>
    <n v="8.56"/>
    <n v="0"/>
    <n v="0.52"/>
    <n v="6.1669999999999998"/>
    <n v="90"/>
    <n v="2.4209999999999998"/>
    <n v="5"/>
    <n v="384"/>
    <n v="20.9"/>
    <n v="392.69"/>
    <n v="12.33"/>
    <n v="20.100000000000001"/>
    <x v="0"/>
    <x v="0"/>
    <x v="1"/>
  </r>
  <r>
    <n v="8.56"/>
    <n v="0"/>
    <n v="0.52"/>
    <n v="5.851"/>
    <n v="96.7"/>
    <n v="2.1069"/>
    <n v="5"/>
    <n v="384"/>
    <n v="20.9"/>
    <n v="394.05"/>
    <n v="16.47"/>
    <n v="19.5"/>
    <x v="0"/>
    <x v="0"/>
    <x v="1"/>
  </r>
  <r>
    <n v="8.56"/>
    <n v="0"/>
    <n v="0.52"/>
    <n v="5.8360000000000003"/>
    <n v="91.9"/>
    <n v="2.2109999999999999"/>
    <n v="5"/>
    <n v="384"/>
    <n v="20.9"/>
    <n v="395.67"/>
    <n v="18.66"/>
    <n v="19.5"/>
    <x v="0"/>
    <x v="0"/>
    <x v="1"/>
  </r>
  <r>
    <n v="8.56"/>
    <n v="0"/>
    <n v="0.52"/>
    <n v="6.1269999999999998"/>
    <n v="85.2"/>
    <n v="2.1223999999999998"/>
    <n v="5"/>
    <n v="384"/>
    <n v="20.9"/>
    <n v="387.69"/>
    <n v="14.09"/>
    <n v="20.399999999999999"/>
    <x v="0"/>
    <x v="0"/>
    <x v="1"/>
  </r>
  <r>
    <n v="8.56"/>
    <n v="0"/>
    <n v="0.52"/>
    <n v="6.4740000000000002"/>
    <n v="97.1"/>
    <n v="2.4329000000000001"/>
    <n v="5"/>
    <n v="384"/>
    <n v="20.9"/>
    <n v="395.24"/>
    <n v="12.27"/>
    <n v="19.8"/>
    <x v="0"/>
    <x v="0"/>
    <x v="1"/>
  </r>
  <r>
    <n v="8.56"/>
    <n v="0"/>
    <n v="0.52"/>
    <n v="6.2290000000000001"/>
    <n v="91.2"/>
    <n v="2.5451000000000001"/>
    <n v="5"/>
    <n v="384"/>
    <n v="20.9"/>
    <n v="391.23"/>
    <n v="15.55"/>
    <n v="19.399999999999999"/>
    <x v="0"/>
    <x v="0"/>
    <x v="1"/>
  </r>
  <r>
    <n v="8.56"/>
    <n v="0"/>
    <n v="0.52"/>
    <n v="6.1950000000000003"/>
    <n v="54.4"/>
    <n v="2.7778"/>
    <n v="5"/>
    <n v="384"/>
    <n v="20.9"/>
    <n v="393.49"/>
    <n v="13"/>
    <n v="21.7"/>
    <x v="0"/>
    <x v="0"/>
    <x v="1"/>
  </r>
  <r>
    <n v="10.01"/>
    <n v="0"/>
    <n v="0.54700000000000004"/>
    <n v="6.7149999999999999"/>
    <n v="81.599999999999994"/>
    <n v="2.6775000000000002"/>
    <n v="6"/>
    <n v="432"/>
    <n v="17.8"/>
    <n v="395.59"/>
    <n v="10.16"/>
    <n v="22.8"/>
    <x v="0"/>
    <x v="0"/>
    <x v="0"/>
  </r>
  <r>
    <n v="10.01"/>
    <n v="0"/>
    <n v="0.54700000000000004"/>
    <n v="5.9130000000000003"/>
    <n v="92.9"/>
    <n v="2.3534000000000002"/>
    <n v="6"/>
    <n v="432"/>
    <n v="17.8"/>
    <n v="394.95"/>
    <n v="16.21"/>
    <n v="18.8"/>
    <x v="0"/>
    <x v="0"/>
    <x v="1"/>
  </r>
  <r>
    <n v="10.01"/>
    <n v="0"/>
    <n v="0.54700000000000004"/>
    <n v="6.0919999999999996"/>
    <n v="95.4"/>
    <n v="2.548"/>
    <n v="6"/>
    <n v="432"/>
    <n v="17.8"/>
    <n v="396.9"/>
    <n v="17.09"/>
    <n v="18.7"/>
    <x v="0"/>
    <x v="0"/>
    <x v="1"/>
  </r>
  <r>
    <n v="10.01"/>
    <n v="0"/>
    <n v="0.54700000000000004"/>
    <n v="6.2539999999999996"/>
    <n v="84.2"/>
    <n v="2.2565"/>
    <n v="6"/>
    <n v="432"/>
    <n v="17.8"/>
    <n v="388.74"/>
    <n v="10.45"/>
    <n v="18.5"/>
    <x v="0"/>
    <x v="0"/>
    <x v="1"/>
  </r>
  <r>
    <n v="10.01"/>
    <n v="0"/>
    <n v="0.54700000000000004"/>
    <n v="5.9279999999999999"/>
    <n v="88.2"/>
    <n v="2.4630999999999998"/>
    <n v="6"/>
    <n v="432"/>
    <n v="17.8"/>
    <n v="344.91"/>
    <n v="15.76"/>
    <n v="18.3"/>
    <x v="0"/>
    <x v="0"/>
    <x v="1"/>
  </r>
  <r>
    <n v="10.01"/>
    <n v="0"/>
    <n v="0.54700000000000004"/>
    <n v="6.1760000000000002"/>
    <n v="72.5"/>
    <n v="2.7301000000000002"/>
    <n v="6"/>
    <n v="432"/>
    <n v="17.8"/>
    <n v="393.3"/>
    <n v="12.04"/>
    <n v="21.2"/>
    <x v="0"/>
    <x v="0"/>
    <x v="1"/>
  </r>
  <r>
    <n v="10.01"/>
    <n v="0"/>
    <n v="0.54700000000000004"/>
    <n v="6.0209999999999999"/>
    <n v="82.6"/>
    <n v="2.7473999999999998"/>
    <n v="6"/>
    <n v="432"/>
    <n v="17.8"/>
    <n v="394.51"/>
    <n v="10.3"/>
    <n v="19.2"/>
    <x v="0"/>
    <x v="0"/>
    <x v="1"/>
  </r>
  <r>
    <n v="10.01"/>
    <n v="0"/>
    <n v="0.54700000000000004"/>
    <n v="5.8719999999999999"/>
    <n v="73.099999999999994"/>
    <n v="2.4775"/>
    <n v="6"/>
    <n v="432"/>
    <n v="17.8"/>
    <n v="338.63"/>
    <n v="15.37"/>
    <n v="20.399999999999999"/>
    <x v="0"/>
    <x v="0"/>
    <x v="1"/>
  </r>
  <r>
    <n v="10.01"/>
    <n v="0"/>
    <n v="0.54700000000000004"/>
    <n v="5.7309999999999999"/>
    <n v="65.2"/>
    <n v="2.7591999999999999"/>
    <n v="6"/>
    <n v="432"/>
    <n v="17.8"/>
    <n v="391.5"/>
    <n v="13.61"/>
    <n v="19.3"/>
    <x v="0"/>
    <x v="0"/>
    <x v="1"/>
  </r>
  <r>
    <n v="25.65"/>
    <n v="0"/>
    <n v="0.58099999999999996"/>
    <n v="5.87"/>
    <n v="69.7"/>
    <n v="2.2576999999999998"/>
    <n v="2"/>
    <n v="188"/>
    <n v="19.100000000000001"/>
    <n v="389.15"/>
    <n v="14.37"/>
    <n v="22"/>
    <x v="0"/>
    <x v="0"/>
    <x v="1"/>
  </r>
  <r>
    <n v="25.65"/>
    <n v="0"/>
    <n v="0.58099999999999996"/>
    <n v="6.0039999999999996"/>
    <n v="84.1"/>
    <n v="2.1974"/>
    <n v="2"/>
    <n v="188"/>
    <n v="19.100000000000001"/>
    <n v="377.67"/>
    <n v="14.27"/>
    <n v="20.3"/>
    <x v="0"/>
    <x v="0"/>
    <x v="1"/>
  </r>
  <r>
    <n v="25.65"/>
    <n v="0"/>
    <n v="0.58099999999999996"/>
    <n v="5.9610000000000003"/>
    <n v="92.9"/>
    <n v="2.0869"/>
    <n v="2"/>
    <n v="188"/>
    <n v="19.100000000000001"/>
    <n v="378.09"/>
    <n v="17.93"/>
    <n v="20.5"/>
    <x v="0"/>
    <x v="0"/>
    <x v="1"/>
  </r>
  <r>
    <n v="25.65"/>
    <n v="0"/>
    <n v="0.58099999999999996"/>
    <n v="5.8559999999999999"/>
    <n v="97"/>
    <n v="1.9443999999999999"/>
    <n v="2"/>
    <n v="188"/>
    <n v="19.100000000000001"/>
    <n v="370.31"/>
    <n v="25.41"/>
    <n v="17.3"/>
    <x v="0"/>
    <x v="0"/>
    <x v="1"/>
  </r>
  <r>
    <n v="25.65"/>
    <n v="0"/>
    <n v="0.58099999999999996"/>
    <n v="5.8789999999999996"/>
    <n v="95.8"/>
    <n v="2.0063"/>
    <n v="2"/>
    <n v="188"/>
    <n v="19.100000000000001"/>
    <n v="379.38"/>
    <n v="17.579999999999998"/>
    <n v="18.8"/>
    <x v="0"/>
    <x v="0"/>
    <x v="1"/>
  </r>
  <r>
    <n v="25.65"/>
    <n v="0"/>
    <n v="0.58099999999999996"/>
    <n v="5.9859999999999998"/>
    <n v="88.4"/>
    <n v="1.9928999999999999"/>
    <n v="2"/>
    <n v="188"/>
    <n v="19.100000000000001"/>
    <n v="385.02"/>
    <n v="14.81"/>
    <n v="21.4"/>
    <x v="0"/>
    <x v="0"/>
    <x v="1"/>
  </r>
  <r>
    <n v="25.65"/>
    <n v="0"/>
    <n v="0.58099999999999996"/>
    <n v="5.6130000000000004"/>
    <n v="95.6"/>
    <n v="1.7572000000000001"/>
    <n v="2"/>
    <n v="188"/>
    <n v="19.100000000000001"/>
    <n v="359.29"/>
    <n v="27.26"/>
    <n v="15.7"/>
    <x v="0"/>
    <x v="0"/>
    <x v="1"/>
  </r>
  <r>
    <n v="21.89"/>
    <n v="0"/>
    <n v="0.624"/>
    <n v="5.6929999999999996"/>
    <n v="96"/>
    <n v="1.7883"/>
    <n v="4"/>
    <n v="437"/>
    <n v="21.2"/>
    <n v="392.11"/>
    <n v="17.190000000000001"/>
    <n v="16.2"/>
    <x v="0"/>
    <x v="0"/>
    <x v="1"/>
  </r>
  <r>
    <n v="21.89"/>
    <n v="0"/>
    <n v="0.624"/>
    <n v="6.431"/>
    <n v="98.8"/>
    <n v="1.8125"/>
    <n v="4"/>
    <n v="437"/>
    <n v="21.2"/>
    <n v="396.9"/>
    <n v="15.39"/>
    <n v="18"/>
    <x v="0"/>
    <x v="0"/>
    <x v="1"/>
  </r>
  <r>
    <n v="21.89"/>
    <n v="0"/>
    <n v="0.624"/>
    <n v="5.6369999999999996"/>
    <n v="94.7"/>
    <n v="1.9799"/>
    <n v="4"/>
    <n v="437"/>
    <n v="21.2"/>
    <n v="396.9"/>
    <n v="18.34"/>
    <n v="14.3"/>
    <x v="2"/>
    <x v="0"/>
    <x v="1"/>
  </r>
  <r>
    <n v="21.89"/>
    <n v="0"/>
    <n v="0.624"/>
    <n v="6.4580000000000002"/>
    <n v="98.9"/>
    <n v="2.1185"/>
    <n v="4"/>
    <n v="437"/>
    <n v="21.2"/>
    <n v="395.04"/>
    <n v="12.6"/>
    <n v="19.2"/>
    <x v="0"/>
    <x v="0"/>
    <x v="1"/>
  </r>
  <r>
    <n v="21.89"/>
    <n v="0"/>
    <n v="0.624"/>
    <n v="6.3259999999999996"/>
    <n v="97.7"/>
    <n v="2.2709999999999999"/>
    <n v="4"/>
    <n v="437"/>
    <n v="21.2"/>
    <n v="396.9"/>
    <n v="12.26"/>
    <n v="19.600000000000001"/>
    <x v="0"/>
    <x v="1"/>
    <x v="1"/>
  </r>
  <r>
    <n v="21.89"/>
    <n v="0"/>
    <n v="0.624"/>
    <n v="6.3719999999999999"/>
    <n v="97.9"/>
    <n v="2.3273999999999999"/>
    <n v="4"/>
    <n v="437"/>
    <n v="21.2"/>
    <n v="385.76"/>
    <n v="11.12"/>
    <n v="23"/>
    <x v="0"/>
    <x v="0"/>
    <x v="1"/>
  </r>
  <r>
    <n v="21.89"/>
    <n v="0"/>
    <n v="0.624"/>
    <n v="5.8220000000000001"/>
    <n v="95.4"/>
    <n v="2.4699"/>
    <n v="4"/>
    <n v="437"/>
    <n v="21.2"/>
    <n v="388.69"/>
    <n v="15.03"/>
    <n v="18.399999999999999"/>
    <x v="0"/>
    <x v="0"/>
    <x v="1"/>
  </r>
  <r>
    <n v="21.89"/>
    <n v="0"/>
    <n v="0.624"/>
    <n v="5.7569999999999997"/>
    <n v="98.4"/>
    <n v="2.3460000000000001"/>
    <n v="4"/>
    <n v="437"/>
    <n v="21.2"/>
    <n v="262.76"/>
    <n v="17.309999999999999"/>
    <n v="15.6"/>
    <x v="0"/>
    <x v="0"/>
    <x v="1"/>
  </r>
  <r>
    <n v="21.89"/>
    <n v="0"/>
    <n v="0.624"/>
    <n v="6.335"/>
    <n v="98.2"/>
    <n v="2.1107"/>
    <n v="4"/>
    <n v="437"/>
    <n v="21.2"/>
    <n v="394.67"/>
    <n v="16.96"/>
    <n v="18.100000000000001"/>
    <x v="0"/>
    <x v="0"/>
    <x v="1"/>
  </r>
  <r>
    <n v="21.89"/>
    <n v="0"/>
    <n v="0.624"/>
    <n v="5.9420000000000002"/>
    <n v="93.5"/>
    <n v="1.9669000000000001"/>
    <n v="4"/>
    <n v="437"/>
    <n v="21.2"/>
    <n v="378.25"/>
    <n v="16.899999999999999"/>
    <n v="17.399999999999999"/>
    <x v="0"/>
    <x v="0"/>
    <x v="1"/>
  </r>
  <r>
    <n v="21.89"/>
    <n v="0"/>
    <n v="0.624"/>
    <n v="6.4539999999999997"/>
    <n v="98.4"/>
    <n v="1.8498000000000001"/>
    <n v="4"/>
    <n v="437"/>
    <n v="21.2"/>
    <n v="394.08"/>
    <n v="14.59"/>
    <n v="17.100000000000001"/>
    <x v="0"/>
    <x v="0"/>
    <x v="1"/>
  </r>
  <r>
    <n v="21.89"/>
    <n v="0"/>
    <n v="0.624"/>
    <n v="5.8570000000000002"/>
    <n v="98.2"/>
    <n v="1.6686000000000001"/>
    <n v="4"/>
    <n v="437"/>
    <n v="21.2"/>
    <n v="392.04"/>
    <n v="21.32"/>
    <n v="13.3"/>
    <x v="2"/>
    <x v="0"/>
    <x v="1"/>
  </r>
  <r>
    <n v="21.89"/>
    <n v="0"/>
    <n v="0.624"/>
    <n v="6.1509999999999998"/>
    <n v="97.9"/>
    <n v="1.6687000000000001"/>
    <n v="4"/>
    <n v="437"/>
    <n v="21.2"/>
    <n v="396.9"/>
    <n v="18.46"/>
    <n v="17.8"/>
    <x v="0"/>
    <x v="0"/>
    <x v="1"/>
  </r>
  <r>
    <n v="21.89"/>
    <n v="0"/>
    <n v="0.624"/>
    <n v="6.1740000000000004"/>
    <n v="93.6"/>
    <n v="1.6119000000000001"/>
    <n v="4"/>
    <n v="437"/>
    <n v="21.2"/>
    <n v="388.08"/>
    <n v="24.16"/>
    <n v="14"/>
    <x v="2"/>
    <x v="0"/>
    <x v="1"/>
  </r>
  <r>
    <n v="21.89"/>
    <n v="0"/>
    <n v="0.624"/>
    <n v="5.0190000000000001"/>
    <n v="100"/>
    <n v="1.4394"/>
    <n v="4"/>
    <n v="437"/>
    <n v="21.2"/>
    <n v="396.9"/>
    <n v="34.409999999999997"/>
    <n v="14.4"/>
    <x v="2"/>
    <x v="1"/>
    <x v="2"/>
  </r>
  <r>
    <n v="19.579999999999998"/>
    <n v="1"/>
    <n v="0.871"/>
    <n v="5.4029999999999996"/>
    <n v="100"/>
    <n v="1.3216000000000001"/>
    <n v="5"/>
    <n v="403"/>
    <n v="14.7"/>
    <n v="396.9"/>
    <n v="26.82"/>
    <n v="13.4"/>
    <x v="2"/>
    <x v="1"/>
    <x v="2"/>
  </r>
  <r>
    <n v="19.579999999999998"/>
    <n v="0"/>
    <n v="0.871"/>
    <n v="5.468"/>
    <n v="100"/>
    <n v="1.4117999999999999"/>
    <n v="5"/>
    <n v="403"/>
    <n v="14.7"/>
    <n v="396.9"/>
    <n v="26.42"/>
    <n v="15.6"/>
    <x v="0"/>
    <x v="1"/>
    <x v="2"/>
  </r>
  <r>
    <n v="19.579999999999998"/>
    <n v="0"/>
    <n v="0.871"/>
    <n v="4.9029999999999996"/>
    <n v="97.8"/>
    <n v="1.3459000000000001"/>
    <n v="5"/>
    <n v="403"/>
    <n v="14.7"/>
    <n v="396.9"/>
    <n v="29.29"/>
    <n v="11.8"/>
    <x v="2"/>
    <x v="1"/>
    <x v="2"/>
  </r>
  <r>
    <n v="19.579999999999998"/>
    <n v="0"/>
    <n v="0.871"/>
    <n v="6.13"/>
    <n v="100"/>
    <n v="1.4191"/>
    <n v="5"/>
    <n v="403"/>
    <n v="14.7"/>
    <n v="172.91"/>
    <n v="27.8"/>
    <n v="13.8"/>
    <x v="2"/>
    <x v="1"/>
    <x v="1"/>
  </r>
  <r>
    <n v="19.579999999999998"/>
    <n v="0"/>
    <n v="0.871"/>
    <n v="5.6280000000000001"/>
    <n v="100"/>
    <n v="1.5165999999999999"/>
    <n v="5"/>
    <n v="403"/>
    <n v="14.7"/>
    <n v="169.27"/>
    <n v="16.649999999999999"/>
    <n v="15.6"/>
    <x v="0"/>
    <x v="1"/>
    <x v="1"/>
  </r>
  <r>
    <n v="19.579999999999998"/>
    <n v="0"/>
    <n v="0.871"/>
    <n v="4.9260000000000002"/>
    <n v="95.7"/>
    <n v="1.4608000000000001"/>
    <n v="5"/>
    <n v="403"/>
    <n v="14.7"/>
    <n v="391.71"/>
    <n v="29.53"/>
    <n v="14.6"/>
    <x v="2"/>
    <x v="1"/>
    <x v="2"/>
  </r>
  <r>
    <n v="19.579999999999998"/>
    <n v="0"/>
    <n v="0.871"/>
    <n v="5.1859999999999999"/>
    <n v="93.8"/>
    <n v="1.5296000000000001"/>
    <n v="5"/>
    <n v="403"/>
    <n v="14.7"/>
    <n v="356.99"/>
    <n v="28.32"/>
    <n v="17.8"/>
    <x v="0"/>
    <x v="1"/>
    <x v="2"/>
  </r>
  <r>
    <n v="19.579999999999998"/>
    <n v="0"/>
    <n v="0.871"/>
    <n v="5.5970000000000004"/>
    <n v="94.9"/>
    <n v="1.5257000000000001"/>
    <n v="5"/>
    <n v="403"/>
    <n v="14.7"/>
    <n v="351.85"/>
    <n v="21.45"/>
    <n v="15.4"/>
    <x v="0"/>
    <x v="1"/>
    <x v="1"/>
  </r>
  <r>
    <n v="19.579999999999998"/>
    <n v="0"/>
    <n v="0.871"/>
    <n v="6.1219999999999999"/>
    <n v="97.3"/>
    <n v="1.6180000000000001"/>
    <n v="5"/>
    <n v="403"/>
    <n v="14.7"/>
    <n v="372.8"/>
    <n v="14.1"/>
    <n v="21.5"/>
    <x v="0"/>
    <x v="1"/>
    <x v="1"/>
  </r>
  <r>
    <n v="19.579999999999998"/>
    <n v="0"/>
    <n v="0.871"/>
    <n v="5.4039999999999999"/>
    <n v="100"/>
    <n v="1.5915999999999999"/>
    <n v="5"/>
    <n v="403"/>
    <n v="14.7"/>
    <n v="341.6"/>
    <n v="13.28"/>
    <n v="19.600000000000001"/>
    <x v="0"/>
    <x v="1"/>
    <x v="2"/>
  </r>
  <r>
    <n v="19.579999999999998"/>
    <n v="1"/>
    <n v="0.871"/>
    <n v="5.0119999999999996"/>
    <n v="88"/>
    <n v="1.6102000000000001"/>
    <n v="5"/>
    <n v="403"/>
    <n v="14.7"/>
    <n v="343.28"/>
    <n v="12.12"/>
    <n v="15.3"/>
    <x v="0"/>
    <x v="1"/>
    <x v="2"/>
  </r>
  <r>
    <n v="19.579999999999998"/>
    <n v="0"/>
    <n v="0.871"/>
    <n v="5.7089999999999996"/>
    <n v="98.5"/>
    <n v="1.6232"/>
    <n v="5"/>
    <n v="403"/>
    <n v="14.7"/>
    <n v="261.95"/>
    <n v="15.79"/>
    <n v="19.399999999999999"/>
    <x v="0"/>
    <x v="1"/>
    <x v="1"/>
  </r>
  <r>
    <n v="19.579999999999998"/>
    <n v="1"/>
    <n v="0.871"/>
    <n v="6.1289999999999996"/>
    <n v="96"/>
    <n v="1.7494000000000001"/>
    <n v="5"/>
    <n v="403"/>
    <n v="14.7"/>
    <n v="321.02"/>
    <n v="15.12"/>
    <n v="17"/>
    <x v="0"/>
    <x v="1"/>
    <x v="1"/>
  </r>
  <r>
    <n v="19.579999999999998"/>
    <n v="1"/>
    <n v="0.871"/>
    <n v="6.1520000000000001"/>
    <n v="82.6"/>
    <n v="1.7455000000000001"/>
    <n v="5"/>
    <n v="403"/>
    <n v="14.7"/>
    <n v="88.01"/>
    <n v="15.02"/>
    <n v="15.6"/>
    <x v="0"/>
    <x v="1"/>
    <x v="1"/>
  </r>
  <r>
    <n v="19.579999999999998"/>
    <n v="0"/>
    <n v="0.871"/>
    <n v="5.2720000000000002"/>
    <n v="94"/>
    <n v="1.7363999999999999"/>
    <n v="5"/>
    <n v="403"/>
    <n v="14.7"/>
    <n v="88.63"/>
    <n v="16.14"/>
    <n v="13.1"/>
    <x v="2"/>
    <x v="1"/>
    <x v="2"/>
  </r>
  <r>
    <n v="19.579999999999998"/>
    <n v="0"/>
    <n v="0.60499999999999998"/>
    <n v="6.9429999999999996"/>
    <n v="97.4"/>
    <n v="1.8773"/>
    <n v="5"/>
    <n v="403"/>
    <n v="14.7"/>
    <n v="363.43"/>
    <n v="4.59"/>
    <n v="41.3"/>
    <x v="1"/>
    <x v="1"/>
    <x v="0"/>
  </r>
  <r>
    <n v="19.579999999999998"/>
    <n v="0"/>
    <n v="0.60499999999999998"/>
    <n v="6.0659999999999998"/>
    <n v="100"/>
    <n v="1.7573000000000001"/>
    <n v="5"/>
    <n v="403"/>
    <n v="14.7"/>
    <n v="353.89"/>
    <n v="6.43"/>
    <n v="24.3"/>
    <x v="0"/>
    <x v="1"/>
    <x v="1"/>
  </r>
  <r>
    <n v="19.579999999999998"/>
    <n v="0"/>
    <n v="0.871"/>
    <n v="6.51"/>
    <n v="100"/>
    <n v="1.7659"/>
    <n v="5"/>
    <n v="403"/>
    <n v="14.7"/>
    <n v="364.31"/>
    <n v="7.39"/>
    <n v="23.3"/>
    <x v="0"/>
    <x v="1"/>
    <x v="0"/>
  </r>
  <r>
    <n v="19.579999999999998"/>
    <n v="1"/>
    <n v="0.60499999999999998"/>
    <n v="6.25"/>
    <n v="92.6"/>
    <n v="1.7984"/>
    <n v="5"/>
    <n v="403"/>
    <n v="14.7"/>
    <n v="338.92"/>
    <n v="5.5"/>
    <n v="27"/>
    <x v="1"/>
    <x v="1"/>
    <x v="1"/>
  </r>
  <r>
    <n v="19.579999999999998"/>
    <n v="0"/>
    <n v="0.60499999999999998"/>
    <n v="7.4889999999999999"/>
    <n v="90.8"/>
    <n v="1.9709000000000001"/>
    <n v="5"/>
    <n v="403"/>
    <n v="14.7"/>
    <n v="374.43"/>
    <n v="1.73"/>
    <n v="50"/>
    <x v="1"/>
    <x v="1"/>
    <x v="0"/>
  </r>
  <r>
    <n v="19.579999999999998"/>
    <n v="1"/>
    <n v="0.60499999999999998"/>
    <n v="7.8019999999999996"/>
    <n v="98.2"/>
    <n v="2.0407000000000002"/>
    <n v="5"/>
    <n v="403"/>
    <n v="14.7"/>
    <n v="389.61"/>
    <n v="1.92"/>
    <n v="50"/>
    <x v="1"/>
    <x v="1"/>
    <x v="0"/>
  </r>
  <r>
    <n v="19.579999999999998"/>
    <n v="1"/>
    <n v="0.60499999999999998"/>
    <n v="8.375"/>
    <n v="93.9"/>
    <n v="2.1619999999999999"/>
    <n v="5"/>
    <n v="403"/>
    <n v="14.7"/>
    <n v="388.45"/>
    <n v="3.32"/>
    <n v="50"/>
    <x v="1"/>
    <x v="1"/>
    <x v="0"/>
  </r>
  <r>
    <n v="19.579999999999998"/>
    <n v="0"/>
    <n v="0.60499999999999998"/>
    <n v="5.8540000000000001"/>
    <n v="91.8"/>
    <n v="2.4220000000000002"/>
    <n v="5"/>
    <n v="403"/>
    <n v="14.7"/>
    <n v="395.11"/>
    <n v="11.64"/>
    <n v="22.7"/>
    <x v="0"/>
    <x v="1"/>
    <x v="1"/>
  </r>
  <r>
    <n v="19.579999999999998"/>
    <n v="0"/>
    <n v="0.60499999999999998"/>
    <n v="6.101"/>
    <n v="93"/>
    <n v="2.2833999999999999"/>
    <n v="5"/>
    <n v="403"/>
    <n v="14.7"/>
    <n v="240.16"/>
    <n v="9.81"/>
    <n v="25"/>
    <x v="0"/>
    <x v="1"/>
    <x v="1"/>
  </r>
  <r>
    <n v="19.579999999999998"/>
    <n v="0"/>
    <n v="0.60499999999999998"/>
    <n v="7.9290000000000003"/>
    <n v="96.2"/>
    <n v="2.0459000000000001"/>
    <n v="5"/>
    <n v="403"/>
    <n v="14.7"/>
    <n v="369.3"/>
    <n v="3.7"/>
    <n v="50"/>
    <x v="1"/>
    <x v="1"/>
    <x v="0"/>
  </r>
  <r>
    <n v="19.579999999999998"/>
    <n v="0"/>
    <n v="0.60499999999999998"/>
    <n v="5.8769999999999998"/>
    <n v="79.2"/>
    <n v="2.4258999999999999"/>
    <n v="5"/>
    <n v="403"/>
    <n v="14.7"/>
    <n v="227.61"/>
    <n v="12.14"/>
    <n v="23.8"/>
    <x v="0"/>
    <x v="1"/>
    <x v="1"/>
  </r>
  <r>
    <n v="19.579999999999998"/>
    <n v="0"/>
    <n v="0.60499999999999998"/>
    <n v="6.319"/>
    <n v="96.1"/>
    <n v="2.1"/>
    <n v="5"/>
    <n v="403"/>
    <n v="14.7"/>
    <n v="297.08999999999997"/>
    <n v="11.1"/>
    <n v="23.8"/>
    <x v="0"/>
    <x v="1"/>
    <x v="1"/>
  </r>
  <r>
    <n v="19.579999999999998"/>
    <n v="0"/>
    <n v="0.60499999999999998"/>
    <n v="6.4020000000000001"/>
    <n v="95.2"/>
    <n v="2.2625000000000002"/>
    <n v="5"/>
    <n v="403"/>
    <n v="14.7"/>
    <n v="330.04"/>
    <n v="11.32"/>
    <n v="22.3"/>
    <x v="0"/>
    <x v="1"/>
    <x v="1"/>
  </r>
  <r>
    <n v="19.579999999999998"/>
    <n v="0"/>
    <n v="0.60499999999999998"/>
    <n v="5.875"/>
    <n v="94.6"/>
    <n v="2.4258999999999999"/>
    <n v="5"/>
    <n v="403"/>
    <n v="14.7"/>
    <n v="292.29000000000002"/>
    <n v="14.43"/>
    <n v="17.399999999999999"/>
    <x v="0"/>
    <x v="1"/>
    <x v="1"/>
  </r>
  <r>
    <n v="19.579999999999998"/>
    <n v="0"/>
    <n v="0.60499999999999998"/>
    <n v="5.88"/>
    <n v="97.3"/>
    <n v="2.3887"/>
    <n v="5"/>
    <n v="403"/>
    <n v="14.7"/>
    <n v="348.13"/>
    <n v="12.03"/>
    <n v="19.100000000000001"/>
    <x v="0"/>
    <x v="1"/>
    <x v="1"/>
  </r>
  <r>
    <n v="4.05"/>
    <n v="0"/>
    <n v="0.51"/>
    <n v="5.5720000000000001"/>
    <n v="88.5"/>
    <n v="2.5960999999999999"/>
    <n v="5"/>
    <n v="296"/>
    <n v="16.600000000000001"/>
    <n v="396.9"/>
    <n v="14.69"/>
    <n v="23.1"/>
    <x v="0"/>
    <x v="0"/>
    <x v="1"/>
  </r>
  <r>
    <n v="4.05"/>
    <n v="0"/>
    <n v="0.51"/>
    <n v="6.4160000000000004"/>
    <n v="84.1"/>
    <n v="2.6463000000000001"/>
    <n v="5"/>
    <n v="296"/>
    <n v="16.600000000000001"/>
    <n v="395.5"/>
    <n v="9.0399999999999991"/>
    <n v="23.6"/>
    <x v="0"/>
    <x v="0"/>
    <x v="1"/>
  </r>
  <r>
    <n v="4.05"/>
    <n v="0"/>
    <n v="0.51"/>
    <n v="5.859"/>
    <n v="68.7"/>
    <n v="2.7019000000000002"/>
    <n v="5"/>
    <n v="296"/>
    <n v="16.600000000000001"/>
    <n v="393.23"/>
    <n v="9.64"/>
    <n v="22.6"/>
    <x v="0"/>
    <x v="0"/>
    <x v="1"/>
  </r>
  <r>
    <n v="4.05"/>
    <n v="0"/>
    <n v="0.51"/>
    <n v="6.5460000000000003"/>
    <n v="33.1"/>
    <n v="3.1322999999999999"/>
    <n v="5"/>
    <n v="296"/>
    <n v="16.600000000000001"/>
    <n v="390.96"/>
    <n v="5.33"/>
    <n v="29.4"/>
    <x v="1"/>
    <x v="0"/>
    <x v="0"/>
  </r>
  <r>
    <n v="4.05"/>
    <n v="0"/>
    <n v="0.51"/>
    <n v="6.02"/>
    <n v="47.2"/>
    <n v="3.5548999999999999"/>
    <n v="5"/>
    <n v="296"/>
    <n v="16.600000000000001"/>
    <n v="393.23"/>
    <n v="10.11"/>
    <n v="23.2"/>
    <x v="0"/>
    <x v="0"/>
    <x v="1"/>
  </r>
  <r>
    <n v="4.05"/>
    <n v="0"/>
    <n v="0.51"/>
    <n v="6.3150000000000004"/>
    <n v="73.400000000000006"/>
    <n v="3.3174999999999999"/>
    <n v="5"/>
    <n v="296"/>
    <n v="16.600000000000001"/>
    <n v="395.6"/>
    <n v="6.29"/>
    <n v="24.6"/>
    <x v="0"/>
    <x v="0"/>
    <x v="1"/>
  </r>
  <r>
    <n v="4.05"/>
    <n v="0"/>
    <n v="0.51"/>
    <n v="6.86"/>
    <n v="74.400000000000006"/>
    <n v="2.9152999999999998"/>
    <n v="5"/>
    <n v="296"/>
    <n v="16.600000000000001"/>
    <n v="391.27"/>
    <n v="6.92"/>
    <n v="29.9"/>
    <x v="1"/>
    <x v="0"/>
    <x v="0"/>
  </r>
  <r>
    <n v="2.46"/>
    <n v="0"/>
    <n v="0.48799999999999999"/>
    <n v="6.98"/>
    <n v="58.4"/>
    <n v="2.8290000000000002"/>
    <n v="3"/>
    <n v="193"/>
    <n v="17.8"/>
    <n v="396.9"/>
    <n v="5.04"/>
    <n v="37.200000000000003"/>
    <x v="1"/>
    <x v="0"/>
    <x v="0"/>
  </r>
  <r>
    <n v="2.46"/>
    <n v="0"/>
    <n v="0.48799999999999999"/>
    <n v="7.7649999999999997"/>
    <n v="83.3"/>
    <n v="2.7410000000000001"/>
    <n v="3"/>
    <n v="193"/>
    <n v="17.8"/>
    <n v="395.56"/>
    <n v="7.56"/>
    <n v="39.799999999999997"/>
    <x v="1"/>
    <x v="0"/>
    <x v="0"/>
  </r>
  <r>
    <n v="2.46"/>
    <n v="0"/>
    <n v="0.48799999999999999"/>
    <n v="6.1440000000000001"/>
    <n v="62.2"/>
    <n v="2.5979000000000001"/>
    <n v="3"/>
    <n v="193"/>
    <n v="17.8"/>
    <n v="396.9"/>
    <n v="9.4499999999999993"/>
    <n v="36.200000000000003"/>
    <x v="1"/>
    <x v="0"/>
    <x v="1"/>
  </r>
  <r>
    <n v="2.46"/>
    <n v="0"/>
    <n v="0.48799999999999999"/>
    <n v="7.1550000000000002"/>
    <n v="92.2"/>
    <n v="2.7006000000000001"/>
    <n v="3"/>
    <n v="193"/>
    <n v="17.8"/>
    <n v="394.12"/>
    <n v="4.82"/>
    <n v="37.9"/>
    <x v="1"/>
    <x v="0"/>
    <x v="0"/>
  </r>
  <r>
    <n v="2.46"/>
    <n v="0"/>
    <n v="0.48799999999999999"/>
    <n v="6.5629999999999997"/>
    <n v="95.6"/>
    <n v="2.847"/>
    <n v="3"/>
    <n v="193"/>
    <n v="17.8"/>
    <n v="396.9"/>
    <n v="5.68"/>
    <n v="32.5"/>
    <x v="1"/>
    <x v="0"/>
    <x v="0"/>
  </r>
  <r>
    <n v="2.46"/>
    <n v="0"/>
    <n v="0.48799999999999999"/>
    <n v="5.6040000000000001"/>
    <n v="89.8"/>
    <n v="2.9878999999999998"/>
    <n v="3"/>
    <n v="193"/>
    <n v="17.8"/>
    <n v="391"/>
    <n v="13.98"/>
    <n v="26.4"/>
    <x v="1"/>
    <x v="0"/>
    <x v="1"/>
  </r>
  <r>
    <n v="2.46"/>
    <n v="0"/>
    <n v="0.48799999999999999"/>
    <n v="6.1529999999999996"/>
    <n v="68.8"/>
    <n v="3.2797000000000001"/>
    <n v="3"/>
    <n v="193"/>
    <n v="17.8"/>
    <n v="387.11"/>
    <n v="13.15"/>
    <n v="29.6"/>
    <x v="1"/>
    <x v="0"/>
    <x v="1"/>
  </r>
  <r>
    <n v="2.46"/>
    <n v="0"/>
    <n v="0.48799999999999999"/>
    <n v="7.8310000000000004"/>
    <n v="53.6"/>
    <n v="3.1991999999999998"/>
    <n v="3"/>
    <n v="193"/>
    <n v="17.8"/>
    <n v="392.63"/>
    <n v="4.45"/>
    <n v="50"/>
    <x v="1"/>
    <x v="0"/>
    <x v="0"/>
  </r>
  <r>
    <n v="3.44"/>
    <n v="0"/>
    <n v="0.437"/>
    <n v="6.782"/>
    <n v="41.1"/>
    <n v="3.7886000000000002"/>
    <n v="5"/>
    <n v="398"/>
    <n v="15.2"/>
    <n v="393.87"/>
    <n v="6.68"/>
    <n v="32"/>
    <x v="1"/>
    <x v="0"/>
    <x v="0"/>
  </r>
  <r>
    <n v="3.44"/>
    <n v="0"/>
    <n v="0.437"/>
    <n v="6.556"/>
    <n v="29.1"/>
    <n v="4.5667"/>
    <n v="5"/>
    <n v="398"/>
    <n v="15.2"/>
    <n v="382.84"/>
    <n v="4.5599999999999996"/>
    <n v="29.8"/>
    <x v="1"/>
    <x v="0"/>
    <x v="0"/>
  </r>
  <r>
    <n v="3.44"/>
    <n v="0"/>
    <n v="0.437"/>
    <n v="7.1849999999999996"/>
    <n v="38.9"/>
    <n v="4.5667"/>
    <n v="5"/>
    <n v="398"/>
    <n v="15.2"/>
    <n v="396.9"/>
    <n v="5.39"/>
    <n v="34.9"/>
    <x v="1"/>
    <x v="0"/>
    <x v="0"/>
  </r>
  <r>
    <n v="3.44"/>
    <n v="0"/>
    <n v="0.437"/>
    <n v="6.9509999999999996"/>
    <n v="21.5"/>
    <n v="6.4798"/>
    <n v="5"/>
    <n v="398"/>
    <n v="15.2"/>
    <n v="377.68"/>
    <n v="5.0999999999999996"/>
    <n v="37"/>
    <x v="1"/>
    <x v="0"/>
    <x v="0"/>
  </r>
  <r>
    <n v="3.44"/>
    <n v="0"/>
    <n v="0.437"/>
    <n v="6.7389999999999999"/>
    <n v="30.8"/>
    <n v="6.4798"/>
    <n v="5"/>
    <n v="398"/>
    <n v="15.2"/>
    <n v="389.71"/>
    <n v="4.6900000000000004"/>
    <n v="30.5"/>
    <x v="1"/>
    <x v="0"/>
    <x v="0"/>
  </r>
  <r>
    <n v="3.44"/>
    <n v="0"/>
    <n v="0.437"/>
    <n v="7.1779999999999999"/>
    <n v="26.3"/>
    <n v="6.4798"/>
    <n v="5"/>
    <n v="398"/>
    <n v="15.2"/>
    <n v="390.49"/>
    <n v="2.87"/>
    <n v="36.4"/>
    <x v="1"/>
    <x v="0"/>
    <x v="0"/>
  </r>
  <r>
    <n v="2.93"/>
    <n v="0"/>
    <n v="0.40100000000000002"/>
    <n v="6.8"/>
    <n v="9.9"/>
    <n v="6.2195999999999998"/>
    <n v="1"/>
    <n v="265"/>
    <n v="15.6"/>
    <n v="393.37"/>
    <n v="5.03"/>
    <n v="31.1"/>
    <x v="1"/>
    <x v="0"/>
    <x v="0"/>
  </r>
  <r>
    <n v="2.93"/>
    <n v="0"/>
    <n v="0.40100000000000002"/>
    <n v="6.6040000000000001"/>
    <n v="18.8"/>
    <n v="6.2195999999999998"/>
    <n v="1"/>
    <n v="265"/>
    <n v="15.6"/>
    <n v="376.7"/>
    <n v="4.38"/>
    <n v="29.1"/>
    <x v="1"/>
    <x v="0"/>
    <x v="0"/>
  </r>
  <r>
    <n v="0.46"/>
    <n v="0"/>
    <n v="0.42199999999999999"/>
    <n v="7.875"/>
    <n v="32"/>
    <n v="5.6483999999999996"/>
    <n v="4"/>
    <n v="255"/>
    <n v="14.4"/>
    <n v="394.23"/>
    <n v="2.97"/>
    <n v="50"/>
    <x v="1"/>
    <x v="0"/>
    <x v="0"/>
  </r>
  <r>
    <n v="1.52"/>
    <n v="0"/>
    <n v="0.40400000000000003"/>
    <n v="7.2869999999999999"/>
    <n v="34.1"/>
    <n v="7.3090000000000002"/>
    <n v="2"/>
    <n v="329"/>
    <n v="12.6"/>
    <n v="396.9"/>
    <n v="4.08"/>
    <n v="33.299999999999997"/>
    <x v="1"/>
    <x v="0"/>
    <x v="0"/>
  </r>
  <r>
    <n v="1.52"/>
    <n v="0"/>
    <n v="0.40400000000000003"/>
    <n v="7.1070000000000002"/>
    <n v="36.6"/>
    <n v="7.3090000000000002"/>
    <n v="2"/>
    <n v="329"/>
    <n v="12.6"/>
    <n v="354.31"/>
    <n v="8.61"/>
    <n v="30.3"/>
    <x v="1"/>
    <x v="0"/>
    <x v="0"/>
  </r>
  <r>
    <n v="1.52"/>
    <n v="0"/>
    <n v="0.40400000000000003"/>
    <n v="7.274"/>
    <n v="38.299999999999997"/>
    <n v="7.3090000000000002"/>
    <n v="2"/>
    <n v="329"/>
    <n v="12.6"/>
    <n v="392.2"/>
    <n v="6.62"/>
    <n v="34.6"/>
    <x v="1"/>
    <x v="0"/>
    <x v="0"/>
  </r>
  <r>
    <n v="1.47"/>
    <n v="0"/>
    <n v="0.40300000000000002"/>
    <n v="6.9749999999999996"/>
    <n v="15.3"/>
    <n v="7.6534000000000004"/>
    <n v="3"/>
    <n v="402"/>
    <n v="17"/>
    <n v="396.9"/>
    <n v="4.5599999999999996"/>
    <n v="34.9"/>
    <x v="1"/>
    <x v="0"/>
    <x v="0"/>
  </r>
  <r>
    <n v="1.47"/>
    <n v="0"/>
    <n v="0.40300000000000002"/>
    <n v="7.1349999999999998"/>
    <n v="13.9"/>
    <n v="7.6534000000000004"/>
    <n v="3"/>
    <n v="402"/>
    <n v="17"/>
    <n v="384.3"/>
    <n v="4.45"/>
    <n v="32.9"/>
    <x v="1"/>
    <x v="0"/>
    <x v="0"/>
  </r>
  <r>
    <n v="2.0299999999999998"/>
    <n v="0"/>
    <n v="0.41499999999999998"/>
    <n v="6.1619999999999999"/>
    <n v="38.4"/>
    <n v="6.27"/>
    <n v="2"/>
    <n v="348"/>
    <n v="14.7"/>
    <n v="393.77"/>
    <n v="7.43"/>
    <n v="24.1"/>
    <x v="0"/>
    <x v="0"/>
    <x v="1"/>
  </r>
  <r>
    <n v="2.0299999999999998"/>
    <n v="0"/>
    <n v="0.41499999999999998"/>
    <n v="7.61"/>
    <n v="15.7"/>
    <n v="6.27"/>
    <n v="2"/>
    <n v="348"/>
    <n v="14.7"/>
    <n v="395.38"/>
    <n v="3.11"/>
    <n v="42.3"/>
    <x v="1"/>
    <x v="0"/>
    <x v="0"/>
  </r>
  <r>
    <n v="2.68"/>
    <n v="0"/>
    <n v="0.41610000000000003"/>
    <n v="7.8529999999999998"/>
    <n v="33.200000000000003"/>
    <n v="5.1180000000000003"/>
    <n v="4"/>
    <n v="224"/>
    <n v="14.7"/>
    <n v="392.78"/>
    <n v="3.81"/>
    <n v="48.5"/>
    <x v="1"/>
    <x v="0"/>
    <x v="0"/>
  </r>
  <r>
    <n v="2.68"/>
    <n v="0"/>
    <n v="0.41610000000000003"/>
    <n v="8.0340000000000007"/>
    <n v="31.9"/>
    <n v="5.1180000000000003"/>
    <n v="4"/>
    <n v="224"/>
    <n v="14.7"/>
    <n v="390.55"/>
    <n v="2.88"/>
    <n v="50"/>
    <x v="1"/>
    <x v="0"/>
    <x v="0"/>
  </r>
  <r>
    <n v="10.59"/>
    <n v="0"/>
    <n v="0.48899999999999999"/>
    <n v="5.891"/>
    <n v="22.3"/>
    <n v="3.9453999999999998"/>
    <n v="4"/>
    <n v="277"/>
    <n v="18.600000000000001"/>
    <n v="396.9"/>
    <n v="10.87"/>
    <n v="22.6"/>
    <x v="0"/>
    <x v="0"/>
    <x v="1"/>
  </r>
  <r>
    <n v="10.59"/>
    <n v="0"/>
    <n v="0.48899999999999999"/>
    <n v="6.3259999999999996"/>
    <n v="52.5"/>
    <n v="4.3548999999999998"/>
    <n v="4"/>
    <n v="277"/>
    <n v="18.600000000000001"/>
    <n v="394.87"/>
    <n v="10.97"/>
    <n v="24.4"/>
    <x v="0"/>
    <x v="0"/>
    <x v="1"/>
  </r>
  <r>
    <n v="10.59"/>
    <n v="0"/>
    <n v="0.48899999999999999"/>
    <n v="5.7830000000000004"/>
    <n v="72.7"/>
    <n v="4.3548999999999998"/>
    <n v="4"/>
    <n v="277"/>
    <n v="18.600000000000001"/>
    <n v="389.43"/>
    <n v="18.059999999999999"/>
    <n v="22.5"/>
    <x v="0"/>
    <x v="0"/>
    <x v="1"/>
  </r>
  <r>
    <n v="10.59"/>
    <n v="1"/>
    <n v="0.48899999999999999"/>
    <n v="6.0640000000000001"/>
    <n v="59.1"/>
    <n v="4.2392000000000003"/>
    <n v="4"/>
    <n v="277"/>
    <n v="18.600000000000001"/>
    <n v="381.32"/>
    <n v="14.66"/>
    <n v="24.4"/>
    <x v="0"/>
    <x v="0"/>
    <x v="1"/>
  </r>
  <r>
    <n v="10.59"/>
    <n v="1"/>
    <n v="0.48899999999999999"/>
    <n v="5.3440000000000003"/>
    <n v="100"/>
    <n v="3.875"/>
    <n v="4"/>
    <n v="277"/>
    <n v="18.600000000000001"/>
    <n v="396.9"/>
    <n v="23.09"/>
    <n v="20"/>
    <x v="0"/>
    <x v="0"/>
    <x v="2"/>
  </r>
  <r>
    <n v="10.59"/>
    <n v="1"/>
    <n v="0.48899999999999999"/>
    <n v="5.96"/>
    <n v="92.1"/>
    <n v="3.8771"/>
    <n v="4"/>
    <n v="277"/>
    <n v="18.600000000000001"/>
    <n v="393.25"/>
    <n v="17.27"/>
    <n v="21.7"/>
    <x v="0"/>
    <x v="0"/>
    <x v="1"/>
  </r>
  <r>
    <n v="10.59"/>
    <n v="1"/>
    <n v="0.48899999999999999"/>
    <n v="5.4039999999999999"/>
    <n v="88.6"/>
    <n v="3.665"/>
    <n v="4"/>
    <n v="277"/>
    <n v="18.600000000000001"/>
    <n v="395.24"/>
    <n v="23.98"/>
    <n v="19.3"/>
    <x v="0"/>
    <x v="0"/>
    <x v="2"/>
  </r>
  <r>
    <n v="10.59"/>
    <n v="1"/>
    <n v="0.48899999999999999"/>
    <n v="5.8070000000000004"/>
    <n v="53.8"/>
    <n v="3.6526000000000001"/>
    <n v="4"/>
    <n v="277"/>
    <n v="18.600000000000001"/>
    <n v="390.94"/>
    <n v="16.03"/>
    <n v="22.4"/>
    <x v="0"/>
    <x v="0"/>
    <x v="1"/>
  </r>
  <r>
    <n v="10.59"/>
    <n v="0"/>
    <n v="0.48899999999999999"/>
    <n v="6.375"/>
    <n v="32.299999999999997"/>
    <n v="3.9453999999999998"/>
    <n v="4"/>
    <n v="277"/>
    <n v="18.600000000000001"/>
    <n v="385.81"/>
    <n v="9.3800000000000008"/>
    <n v="28.1"/>
    <x v="1"/>
    <x v="0"/>
    <x v="1"/>
  </r>
  <r>
    <n v="10.59"/>
    <n v="0"/>
    <n v="0.48899999999999999"/>
    <n v="5.4119999999999999"/>
    <n v="9.8000000000000007"/>
    <n v="3.5874999999999999"/>
    <n v="4"/>
    <n v="277"/>
    <n v="18.600000000000001"/>
    <n v="348.93"/>
    <n v="29.55"/>
    <n v="23.7"/>
    <x v="0"/>
    <x v="0"/>
    <x v="2"/>
  </r>
  <r>
    <n v="10.59"/>
    <n v="0"/>
    <n v="0.48899999999999999"/>
    <n v="6.1820000000000004"/>
    <n v="42.4"/>
    <n v="3.9453999999999998"/>
    <n v="4"/>
    <n v="277"/>
    <n v="18.600000000000001"/>
    <n v="393.63"/>
    <n v="9.4700000000000006"/>
    <n v="25"/>
    <x v="0"/>
    <x v="0"/>
    <x v="1"/>
  </r>
  <r>
    <n v="13.89"/>
    <n v="1"/>
    <n v="0.55000000000000004"/>
    <n v="5.8879999999999999"/>
    <n v="56"/>
    <n v="3.1120999999999999"/>
    <n v="5"/>
    <n v="276"/>
    <n v="16.399999999999999"/>
    <n v="392.8"/>
    <n v="13.51"/>
    <n v="23.3"/>
    <x v="0"/>
    <x v="0"/>
    <x v="1"/>
  </r>
  <r>
    <n v="13.89"/>
    <n v="0"/>
    <n v="0.55000000000000004"/>
    <n v="6.6420000000000003"/>
    <n v="85.1"/>
    <n v="3.4211"/>
    <n v="5"/>
    <n v="276"/>
    <n v="16.399999999999999"/>
    <n v="392.78"/>
    <n v="9.69"/>
    <n v="28.7"/>
    <x v="1"/>
    <x v="0"/>
    <x v="0"/>
  </r>
  <r>
    <n v="13.89"/>
    <n v="1"/>
    <n v="0.55000000000000004"/>
    <n v="5.9509999999999996"/>
    <n v="93.8"/>
    <n v="2.8893"/>
    <n v="5"/>
    <n v="276"/>
    <n v="16.399999999999999"/>
    <n v="396.9"/>
    <n v="17.920000000000002"/>
    <n v="21.5"/>
    <x v="0"/>
    <x v="0"/>
    <x v="1"/>
  </r>
  <r>
    <n v="13.89"/>
    <n v="1"/>
    <n v="0.55000000000000004"/>
    <n v="6.3730000000000002"/>
    <n v="92.4"/>
    <n v="3.3633000000000002"/>
    <n v="5"/>
    <n v="276"/>
    <n v="16.399999999999999"/>
    <n v="393.74"/>
    <n v="10.5"/>
    <n v="23"/>
    <x v="0"/>
    <x v="0"/>
    <x v="1"/>
  </r>
  <r>
    <n v="6.2"/>
    <n v="1"/>
    <n v="0.50700000000000001"/>
    <n v="6.9509999999999996"/>
    <n v="88.5"/>
    <n v="2.8616999999999999"/>
    <n v="8"/>
    <n v="307"/>
    <n v="17.399999999999999"/>
    <n v="391.7"/>
    <n v="9.7100000000000009"/>
    <n v="26.7"/>
    <x v="1"/>
    <x v="0"/>
    <x v="0"/>
  </r>
  <r>
    <n v="6.2"/>
    <n v="1"/>
    <n v="0.50700000000000001"/>
    <n v="6.1639999999999997"/>
    <n v="91.3"/>
    <n v="3.048"/>
    <n v="8"/>
    <n v="307"/>
    <n v="17.399999999999999"/>
    <n v="395.24"/>
    <n v="21.46"/>
    <n v="21.7"/>
    <x v="0"/>
    <x v="0"/>
    <x v="1"/>
  </r>
  <r>
    <n v="6.2"/>
    <n v="1"/>
    <n v="0.50700000000000001"/>
    <n v="6.8789999999999996"/>
    <n v="77.7"/>
    <n v="3.2721"/>
    <n v="8"/>
    <n v="307"/>
    <n v="17.399999999999999"/>
    <n v="390.39"/>
    <n v="9.93"/>
    <n v="27.5"/>
    <x v="1"/>
    <x v="0"/>
    <x v="0"/>
  </r>
  <r>
    <n v="6.2"/>
    <n v="0"/>
    <n v="0.50700000000000001"/>
    <n v="6.6180000000000003"/>
    <n v="80.8"/>
    <n v="3.2721"/>
    <n v="8"/>
    <n v="307"/>
    <n v="17.399999999999999"/>
    <n v="396.9"/>
    <n v="7.6"/>
    <n v="30.1"/>
    <x v="1"/>
    <x v="0"/>
    <x v="0"/>
  </r>
  <r>
    <n v="6.2"/>
    <n v="0"/>
    <n v="0.504"/>
    <n v="8.266"/>
    <n v="78.3"/>
    <n v="2.8944000000000001"/>
    <n v="8"/>
    <n v="307"/>
    <n v="17.399999999999999"/>
    <n v="385.05"/>
    <n v="4.1399999999999997"/>
    <n v="44.8"/>
    <x v="1"/>
    <x v="0"/>
    <x v="0"/>
  </r>
  <r>
    <n v="6.2"/>
    <n v="0"/>
    <n v="0.504"/>
    <n v="8.7249999999999996"/>
    <n v="83"/>
    <n v="2.8944000000000001"/>
    <n v="8"/>
    <n v="307"/>
    <n v="17.399999999999999"/>
    <n v="382"/>
    <n v="4.63"/>
    <n v="50"/>
    <x v="1"/>
    <x v="0"/>
    <x v="0"/>
  </r>
  <r>
    <n v="6.2"/>
    <n v="0"/>
    <n v="0.504"/>
    <n v="8.0399999999999991"/>
    <n v="86.5"/>
    <n v="3.2157"/>
    <n v="8"/>
    <n v="307"/>
    <n v="17.399999999999999"/>
    <n v="387.38"/>
    <n v="3.13"/>
    <n v="37.6"/>
    <x v="1"/>
    <x v="0"/>
    <x v="0"/>
  </r>
  <r>
    <n v="6.2"/>
    <n v="0"/>
    <n v="0.504"/>
    <n v="7.1630000000000003"/>
    <n v="79.900000000000006"/>
    <n v="3.2157"/>
    <n v="8"/>
    <n v="307"/>
    <n v="17.399999999999999"/>
    <n v="372.08"/>
    <n v="6.36"/>
    <n v="31.6"/>
    <x v="1"/>
    <x v="0"/>
    <x v="0"/>
  </r>
  <r>
    <n v="6.2"/>
    <n v="0"/>
    <n v="0.504"/>
    <n v="7.6859999999999999"/>
    <n v="17"/>
    <n v="3.3751000000000002"/>
    <n v="8"/>
    <n v="307"/>
    <n v="17.399999999999999"/>
    <n v="377.51"/>
    <n v="3.92"/>
    <n v="46.7"/>
    <x v="1"/>
    <x v="0"/>
    <x v="0"/>
  </r>
  <r>
    <n v="6.2"/>
    <n v="0"/>
    <n v="0.504"/>
    <n v="6.5519999999999996"/>
    <n v="21.4"/>
    <n v="3.3751000000000002"/>
    <n v="8"/>
    <n v="307"/>
    <n v="17.399999999999999"/>
    <n v="380.34"/>
    <n v="3.76"/>
    <n v="31.5"/>
    <x v="1"/>
    <x v="0"/>
    <x v="0"/>
  </r>
  <r>
    <n v="6.2"/>
    <n v="0"/>
    <n v="0.504"/>
    <n v="5.9809999999999999"/>
    <n v="68.099999999999994"/>
    <n v="3.6715"/>
    <n v="8"/>
    <n v="307"/>
    <n v="17.399999999999999"/>
    <n v="378.35"/>
    <n v="11.65"/>
    <n v="24.3"/>
    <x v="0"/>
    <x v="0"/>
    <x v="1"/>
  </r>
  <r>
    <n v="6.2"/>
    <n v="0"/>
    <n v="0.504"/>
    <n v="7.4119999999999999"/>
    <n v="76.900000000000006"/>
    <n v="3.6715"/>
    <n v="8"/>
    <n v="307"/>
    <n v="17.399999999999999"/>
    <n v="376.14"/>
    <n v="5.25"/>
    <n v="31.7"/>
    <x v="1"/>
    <x v="0"/>
    <x v="0"/>
  </r>
  <r>
    <n v="6.2"/>
    <n v="0"/>
    <n v="0.50700000000000001"/>
    <n v="8.3369999999999997"/>
    <n v="73.3"/>
    <n v="3.8384"/>
    <n v="8"/>
    <n v="307"/>
    <n v="17.399999999999999"/>
    <n v="385.91"/>
    <n v="2.4700000000000002"/>
    <n v="41.7"/>
    <x v="1"/>
    <x v="0"/>
    <x v="0"/>
  </r>
  <r>
    <n v="6.2"/>
    <n v="0"/>
    <n v="0.50700000000000001"/>
    <n v="8.2469999999999999"/>
    <n v="70.400000000000006"/>
    <n v="3.6518999999999999"/>
    <n v="8"/>
    <n v="307"/>
    <n v="17.399999999999999"/>
    <n v="378.95"/>
    <n v="3.95"/>
    <n v="48.3"/>
    <x v="1"/>
    <x v="0"/>
    <x v="0"/>
  </r>
  <r>
    <n v="6.2"/>
    <n v="1"/>
    <n v="0.50700000000000001"/>
    <n v="6.726"/>
    <n v="66.5"/>
    <n v="3.6518999999999999"/>
    <n v="8"/>
    <n v="307"/>
    <n v="17.399999999999999"/>
    <n v="360.2"/>
    <n v="8.0500000000000007"/>
    <n v="29"/>
    <x v="1"/>
    <x v="0"/>
    <x v="0"/>
  </r>
  <r>
    <n v="6.2"/>
    <n v="0"/>
    <n v="0.50700000000000001"/>
    <n v="6.0860000000000003"/>
    <n v="61.5"/>
    <n v="3.6518999999999999"/>
    <n v="8"/>
    <n v="307"/>
    <n v="17.399999999999999"/>
    <n v="376.75"/>
    <n v="10.88"/>
    <n v="24"/>
    <x v="0"/>
    <x v="0"/>
    <x v="1"/>
  </r>
  <r>
    <n v="6.2"/>
    <n v="1"/>
    <n v="0.50700000000000001"/>
    <n v="6.6310000000000002"/>
    <n v="76.5"/>
    <n v="4.1479999999999997"/>
    <n v="8"/>
    <n v="307"/>
    <n v="17.399999999999999"/>
    <n v="388.45"/>
    <n v="9.5399999999999991"/>
    <n v="25.1"/>
    <x v="1"/>
    <x v="0"/>
    <x v="0"/>
  </r>
  <r>
    <n v="6.2"/>
    <n v="0"/>
    <n v="0.50700000000000001"/>
    <n v="7.3579999999999997"/>
    <n v="71.599999999999994"/>
    <n v="4.1479999999999997"/>
    <n v="8"/>
    <n v="307"/>
    <n v="17.399999999999999"/>
    <n v="390.07"/>
    <n v="4.7300000000000004"/>
    <n v="31.5"/>
    <x v="1"/>
    <x v="0"/>
    <x v="0"/>
  </r>
  <r>
    <n v="4.93"/>
    <n v="0"/>
    <n v="0.42799999999999999"/>
    <n v="6.4809999999999999"/>
    <n v="18.5"/>
    <n v="6.1898999999999997"/>
    <n v="6"/>
    <n v="300"/>
    <n v="16.600000000000001"/>
    <n v="379.41"/>
    <n v="6.36"/>
    <n v="23.7"/>
    <x v="0"/>
    <x v="0"/>
    <x v="1"/>
  </r>
  <r>
    <n v="4.93"/>
    <n v="0"/>
    <n v="0.42799999999999999"/>
    <n v="6.6059999999999999"/>
    <n v="42.2"/>
    <n v="6.1898999999999997"/>
    <n v="6"/>
    <n v="300"/>
    <n v="16.600000000000001"/>
    <n v="383.78"/>
    <n v="7.37"/>
    <n v="23.3"/>
    <x v="0"/>
    <x v="0"/>
    <x v="0"/>
  </r>
  <r>
    <n v="4.93"/>
    <n v="0"/>
    <n v="0.42799999999999999"/>
    <n v="6.8970000000000002"/>
    <n v="54.3"/>
    <n v="6.3361000000000001"/>
    <n v="6"/>
    <n v="300"/>
    <n v="16.600000000000001"/>
    <n v="391.25"/>
    <n v="11.38"/>
    <n v="22"/>
    <x v="0"/>
    <x v="0"/>
    <x v="0"/>
  </r>
  <r>
    <n v="4.93"/>
    <n v="0"/>
    <n v="0.42799999999999999"/>
    <n v="6.0949999999999998"/>
    <n v="65.099999999999994"/>
    <n v="6.3361000000000001"/>
    <n v="6"/>
    <n v="300"/>
    <n v="16.600000000000001"/>
    <n v="394.62"/>
    <n v="12.4"/>
    <n v="20.100000000000001"/>
    <x v="0"/>
    <x v="0"/>
    <x v="1"/>
  </r>
  <r>
    <n v="4.93"/>
    <n v="0"/>
    <n v="0.42799999999999999"/>
    <n v="6.3579999999999997"/>
    <n v="52.9"/>
    <n v="7.0354999999999999"/>
    <n v="6"/>
    <n v="300"/>
    <n v="16.600000000000001"/>
    <n v="372.75"/>
    <n v="11.22"/>
    <n v="22.2"/>
    <x v="0"/>
    <x v="0"/>
    <x v="1"/>
  </r>
  <r>
    <n v="4.93"/>
    <n v="0"/>
    <n v="0.42799999999999999"/>
    <n v="6.3929999999999998"/>
    <n v="7.8"/>
    <n v="7.0354999999999999"/>
    <n v="6"/>
    <n v="300"/>
    <n v="16.600000000000001"/>
    <n v="374.71"/>
    <n v="5.19"/>
    <n v="23.7"/>
    <x v="0"/>
    <x v="0"/>
    <x v="1"/>
  </r>
  <r>
    <n v="5.86"/>
    <n v="0"/>
    <n v="0.43099999999999999"/>
    <n v="5.593"/>
    <n v="76.5"/>
    <n v="7.9549000000000003"/>
    <n v="7"/>
    <n v="330"/>
    <n v="19.100000000000001"/>
    <n v="372.49"/>
    <n v="12.5"/>
    <n v="17.600000000000001"/>
    <x v="0"/>
    <x v="0"/>
    <x v="1"/>
  </r>
  <r>
    <n v="5.86"/>
    <n v="0"/>
    <n v="0.43099999999999999"/>
    <n v="5.6050000000000004"/>
    <n v="70.2"/>
    <n v="7.9549000000000003"/>
    <n v="7"/>
    <n v="330"/>
    <n v="19.100000000000001"/>
    <n v="389.13"/>
    <n v="18.46"/>
    <n v="18.5"/>
    <x v="0"/>
    <x v="0"/>
    <x v="1"/>
  </r>
  <r>
    <n v="5.86"/>
    <n v="0"/>
    <n v="0.43099999999999999"/>
    <n v="6.1079999999999997"/>
    <n v="34.9"/>
    <n v="8.0555000000000003"/>
    <n v="7"/>
    <n v="330"/>
    <n v="19.100000000000001"/>
    <n v="390.18"/>
    <n v="9.16"/>
    <n v="24.3"/>
    <x v="0"/>
    <x v="0"/>
    <x v="1"/>
  </r>
  <r>
    <n v="5.86"/>
    <n v="0"/>
    <n v="0.43099999999999999"/>
    <n v="6.226"/>
    <n v="79.2"/>
    <n v="8.0555000000000003"/>
    <n v="7"/>
    <n v="330"/>
    <n v="19.100000000000001"/>
    <n v="376.14"/>
    <n v="10.15"/>
    <n v="20.5"/>
    <x v="0"/>
    <x v="0"/>
    <x v="1"/>
  </r>
  <r>
    <n v="5.86"/>
    <n v="0"/>
    <n v="0.43099999999999999"/>
    <n v="6.4329999999999998"/>
    <n v="49.1"/>
    <n v="7.8265000000000002"/>
    <n v="7"/>
    <n v="330"/>
    <n v="19.100000000000001"/>
    <n v="374.71"/>
    <n v="9.52"/>
    <n v="24.5"/>
    <x v="0"/>
    <x v="0"/>
    <x v="1"/>
  </r>
  <r>
    <n v="5.86"/>
    <n v="0"/>
    <n v="0.43099999999999999"/>
    <n v="6.718"/>
    <n v="17.5"/>
    <n v="7.8265000000000002"/>
    <n v="7"/>
    <n v="330"/>
    <n v="19.100000000000001"/>
    <n v="393.74"/>
    <n v="6.56"/>
    <n v="26.2"/>
    <x v="1"/>
    <x v="0"/>
    <x v="0"/>
  </r>
  <r>
    <n v="5.86"/>
    <n v="0"/>
    <n v="0.43099999999999999"/>
    <n v="6.4870000000000001"/>
    <n v="13"/>
    <n v="7.3967000000000001"/>
    <n v="7"/>
    <n v="330"/>
    <n v="19.100000000000001"/>
    <n v="396.28"/>
    <n v="5.9"/>
    <n v="24.4"/>
    <x v="0"/>
    <x v="0"/>
    <x v="1"/>
  </r>
  <r>
    <n v="5.86"/>
    <n v="0"/>
    <n v="0.43099999999999999"/>
    <n v="6.4379999999999997"/>
    <n v="8.9"/>
    <n v="7.3967000000000001"/>
    <n v="7"/>
    <n v="330"/>
    <n v="19.100000000000001"/>
    <n v="377.07"/>
    <n v="3.59"/>
    <n v="24.8"/>
    <x v="0"/>
    <x v="0"/>
    <x v="1"/>
  </r>
  <r>
    <n v="5.86"/>
    <n v="0"/>
    <n v="0.43099999999999999"/>
    <n v="6.9569999999999999"/>
    <n v="6.8"/>
    <n v="8.9067000000000007"/>
    <n v="7"/>
    <n v="330"/>
    <n v="19.100000000000001"/>
    <n v="386.09"/>
    <n v="3.53"/>
    <n v="29.6"/>
    <x v="1"/>
    <x v="0"/>
    <x v="0"/>
  </r>
  <r>
    <n v="5.86"/>
    <n v="0"/>
    <n v="0.43099999999999999"/>
    <n v="8.2590000000000003"/>
    <n v="8.4"/>
    <n v="8.9067000000000007"/>
    <n v="7"/>
    <n v="330"/>
    <n v="19.100000000000001"/>
    <n v="396.9"/>
    <n v="3.54"/>
    <n v="42.8"/>
    <x v="1"/>
    <x v="0"/>
    <x v="0"/>
  </r>
  <r>
    <n v="3.64"/>
    <n v="0"/>
    <n v="0.39200000000000002"/>
    <n v="6.1079999999999997"/>
    <n v="32"/>
    <n v="9.2202999999999999"/>
    <n v="1"/>
    <n v="315"/>
    <n v="16.399999999999999"/>
    <n v="392.89"/>
    <n v="6.57"/>
    <n v="21.9"/>
    <x v="0"/>
    <x v="0"/>
    <x v="1"/>
  </r>
  <r>
    <n v="3.64"/>
    <n v="0"/>
    <n v="0.39200000000000002"/>
    <n v="5.8760000000000003"/>
    <n v="19.100000000000001"/>
    <n v="9.2202999999999999"/>
    <n v="1"/>
    <n v="315"/>
    <n v="16.399999999999999"/>
    <n v="395.18"/>
    <n v="9.25"/>
    <n v="20.9"/>
    <x v="0"/>
    <x v="0"/>
    <x v="1"/>
  </r>
  <r>
    <n v="3.75"/>
    <n v="0"/>
    <n v="0.39400000000000002"/>
    <n v="7.4539999999999997"/>
    <n v="34.200000000000003"/>
    <n v="6.3361000000000001"/>
    <n v="3"/>
    <n v="244"/>
    <n v="15.9"/>
    <n v="386.34"/>
    <n v="3.11"/>
    <n v="44"/>
    <x v="1"/>
    <x v="0"/>
    <x v="0"/>
  </r>
  <r>
    <n v="3.97"/>
    <n v="0"/>
    <n v="0.64700000000000002"/>
    <n v="8.7040000000000006"/>
    <n v="86.9"/>
    <n v="1.8009999999999999"/>
    <n v="5"/>
    <n v="264"/>
    <n v="13"/>
    <n v="389.7"/>
    <n v="5.12"/>
    <n v="50"/>
    <x v="1"/>
    <x v="0"/>
    <x v="0"/>
  </r>
  <r>
    <n v="3.97"/>
    <n v="0"/>
    <n v="0.64700000000000002"/>
    <n v="7.3330000000000002"/>
    <n v="100"/>
    <n v="1.8946000000000001"/>
    <n v="5"/>
    <n v="264"/>
    <n v="13"/>
    <n v="383.29"/>
    <n v="7.79"/>
    <n v="36"/>
    <x v="1"/>
    <x v="0"/>
    <x v="0"/>
  </r>
  <r>
    <n v="3.97"/>
    <n v="0"/>
    <n v="0.64700000000000002"/>
    <n v="6.8419999999999996"/>
    <n v="100"/>
    <n v="2.0106999999999999"/>
    <n v="5"/>
    <n v="264"/>
    <n v="13"/>
    <n v="391.93"/>
    <n v="6.9"/>
    <n v="30.1"/>
    <x v="1"/>
    <x v="0"/>
    <x v="0"/>
  </r>
  <r>
    <n v="3.97"/>
    <n v="0"/>
    <n v="0.64700000000000002"/>
    <n v="7.2030000000000003"/>
    <n v="81.8"/>
    <n v="2.1120999999999999"/>
    <n v="5"/>
    <n v="264"/>
    <n v="13"/>
    <n v="392.8"/>
    <n v="9.59"/>
    <n v="33.799999999999997"/>
    <x v="1"/>
    <x v="0"/>
    <x v="0"/>
  </r>
  <r>
    <n v="3.97"/>
    <n v="0"/>
    <n v="0.64700000000000002"/>
    <n v="7.52"/>
    <n v="89.4"/>
    <n v="2.1398000000000001"/>
    <n v="5"/>
    <n v="264"/>
    <n v="13"/>
    <n v="388.37"/>
    <n v="7.26"/>
    <n v="43.1"/>
    <x v="1"/>
    <x v="0"/>
    <x v="0"/>
  </r>
  <r>
    <n v="3.97"/>
    <n v="0"/>
    <n v="0.64700000000000002"/>
    <n v="8.3979999999999997"/>
    <n v="91.5"/>
    <n v="2.2885"/>
    <n v="5"/>
    <n v="264"/>
    <n v="13"/>
    <n v="386.86"/>
    <n v="5.91"/>
    <n v="48.8"/>
    <x v="1"/>
    <x v="0"/>
    <x v="0"/>
  </r>
  <r>
    <n v="3.97"/>
    <n v="0"/>
    <n v="0.64700000000000002"/>
    <n v="7.327"/>
    <n v="94.5"/>
    <n v="2.0788000000000002"/>
    <n v="5"/>
    <n v="264"/>
    <n v="13"/>
    <n v="393.42"/>
    <n v="11.25"/>
    <n v="31"/>
    <x v="1"/>
    <x v="0"/>
    <x v="0"/>
  </r>
  <r>
    <n v="3.97"/>
    <n v="0"/>
    <n v="0.64700000000000002"/>
    <n v="7.2060000000000004"/>
    <n v="91.6"/>
    <n v="1.9300999999999999"/>
    <n v="5"/>
    <n v="264"/>
    <n v="13"/>
    <n v="387.89"/>
    <n v="8.1"/>
    <n v="36.5"/>
    <x v="1"/>
    <x v="0"/>
    <x v="0"/>
  </r>
  <r>
    <n v="3.97"/>
    <n v="0"/>
    <n v="0.64700000000000002"/>
    <n v="5.56"/>
    <n v="62.8"/>
    <n v="1.9864999999999999"/>
    <n v="5"/>
    <n v="264"/>
    <n v="13"/>
    <n v="392.4"/>
    <n v="10.45"/>
    <n v="22.8"/>
    <x v="0"/>
    <x v="0"/>
    <x v="1"/>
  </r>
  <r>
    <n v="3.97"/>
    <n v="0"/>
    <n v="0.64700000000000002"/>
    <n v="7.0140000000000002"/>
    <n v="84.6"/>
    <n v="2.1328999999999998"/>
    <n v="5"/>
    <n v="264"/>
    <n v="13"/>
    <n v="384.07"/>
    <n v="14.79"/>
    <n v="30.7"/>
    <x v="1"/>
    <x v="0"/>
    <x v="0"/>
  </r>
  <r>
    <n v="3.97"/>
    <n v="0"/>
    <n v="0.57499999999999996"/>
    <n v="8.2970000000000006"/>
    <n v="67"/>
    <n v="2.4216000000000002"/>
    <n v="5"/>
    <n v="264"/>
    <n v="13"/>
    <n v="384.54"/>
    <n v="7.44"/>
    <n v="50"/>
    <x v="1"/>
    <x v="0"/>
    <x v="0"/>
  </r>
  <r>
    <n v="3.97"/>
    <n v="0"/>
    <n v="0.57499999999999996"/>
    <n v="7.47"/>
    <n v="52.6"/>
    <n v="2.8719999999999999"/>
    <n v="5"/>
    <n v="264"/>
    <n v="13"/>
    <n v="390.3"/>
    <n v="3.16"/>
    <n v="43.5"/>
    <x v="1"/>
    <x v="0"/>
    <x v="0"/>
  </r>
  <r>
    <n v="6.96"/>
    <n v="1"/>
    <n v="0.46400000000000002"/>
    <n v="5.92"/>
    <n v="61.5"/>
    <n v="3.9175"/>
    <n v="3"/>
    <n v="223"/>
    <n v="18.600000000000001"/>
    <n v="391.34"/>
    <n v="13.65"/>
    <n v="20.7"/>
    <x v="0"/>
    <x v="0"/>
    <x v="1"/>
  </r>
  <r>
    <n v="6.96"/>
    <n v="0"/>
    <n v="0.46400000000000002"/>
    <n v="5.8559999999999999"/>
    <n v="42.1"/>
    <n v="4.4290000000000003"/>
    <n v="3"/>
    <n v="223"/>
    <n v="18.600000000000001"/>
    <n v="388.65"/>
    <n v="13"/>
    <n v="21.1"/>
    <x v="0"/>
    <x v="0"/>
    <x v="1"/>
  </r>
  <r>
    <n v="6.96"/>
    <n v="0"/>
    <n v="0.46400000000000002"/>
    <n v="6.24"/>
    <n v="16.3"/>
    <n v="4.4290000000000003"/>
    <n v="3"/>
    <n v="223"/>
    <n v="18.600000000000001"/>
    <n v="396.9"/>
    <n v="6.59"/>
    <n v="25.2"/>
    <x v="1"/>
    <x v="0"/>
    <x v="1"/>
  </r>
  <r>
    <n v="6.96"/>
    <n v="0"/>
    <n v="0.46400000000000002"/>
    <n v="6.5380000000000003"/>
    <n v="58.7"/>
    <n v="3.9175"/>
    <n v="3"/>
    <n v="223"/>
    <n v="18.600000000000001"/>
    <n v="394.96"/>
    <n v="7.73"/>
    <n v="24.4"/>
    <x v="0"/>
    <x v="0"/>
    <x v="0"/>
  </r>
  <r>
    <n v="6.96"/>
    <n v="1"/>
    <n v="0.46400000000000002"/>
    <n v="7.6909999999999998"/>
    <n v="51.8"/>
    <n v="4.3665000000000003"/>
    <n v="3"/>
    <n v="223"/>
    <n v="18.600000000000001"/>
    <n v="390.77"/>
    <n v="6.58"/>
    <n v="35.200000000000003"/>
    <x v="1"/>
    <x v="0"/>
    <x v="0"/>
  </r>
  <r>
    <n v="6.41"/>
    <n v="1"/>
    <n v="0.44700000000000001"/>
    <n v="6.758"/>
    <n v="32.9"/>
    <n v="4.0776000000000003"/>
    <n v="4"/>
    <n v="254"/>
    <n v="17.600000000000001"/>
    <n v="396.9"/>
    <n v="3.53"/>
    <n v="32.4"/>
    <x v="1"/>
    <x v="0"/>
    <x v="0"/>
  </r>
  <r>
    <n v="6.41"/>
    <n v="0"/>
    <n v="0.44700000000000001"/>
    <n v="6.8540000000000001"/>
    <n v="42.8"/>
    <n v="4.2672999999999996"/>
    <n v="4"/>
    <n v="254"/>
    <n v="17.600000000000001"/>
    <n v="396.9"/>
    <n v="2.98"/>
    <n v="32"/>
    <x v="1"/>
    <x v="0"/>
    <x v="0"/>
  </r>
  <r>
    <n v="6.41"/>
    <n v="1"/>
    <n v="0.44700000000000001"/>
    <n v="7.2670000000000003"/>
    <n v="49"/>
    <n v="4.7872000000000003"/>
    <n v="4"/>
    <n v="254"/>
    <n v="17.600000000000001"/>
    <n v="389.25"/>
    <n v="6.05"/>
    <n v="33.200000000000003"/>
    <x v="1"/>
    <x v="0"/>
    <x v="0"/>
  </r>
  <r>
    <n v="6.41"/>
    <n v="1"/>
    <n v="0.44700000000000001"/>
    <n v="6.8259999999999996"/>
    <n v="27.6"/>
    <n v="4.8628"/>
    <n v="4"/>
    <n v="254"/>
    <n v="17.600000000000001"/>
    <n v="393.45"/>
    <n v="4.16"/>
    <n v="33.1"/>
    <x v="1"/>
    <x v="0"/>
    <x v="0"/>
  </r>
  <r>
    <n v="6.41"/>
    <n v="0"/>
    <n v="0.44700000000000001"/>
    <n v="6.4820000000000002"/>
    <n v="32.1"/>
    <n v="4.1402999999999999"/>
    <n v="4"/>
    <n v="254"/>
    <n v="17.600000000000001"/>
    <n v="396.9"/>
    <n v="7.19"/>
    <n v="29.1"/>
    <x v="1"/>
    <x v="0"/>
    <x v="1"/>
  </r>
  <r>
    <n v="3.33"/>
    <n v="0"/>
    <n v="0.44290000000000002"/>
    <n v="6.8120000000000003"/>
    <n v="32.200000000000003"/>
    <n v="4.1006999999999998"/>
    <n v="5"/>
    <n v="216"/>
    <n v="14.9"/>
    <n v="396.9"/>
    <n v="4.8499999999999996"/>
    <n v="35.1"/>
    <x v="1"/>
    <x v="0"/>
    <x v="0"/>
  </r>
  <r>
    <n v="3.33"/>
    <n v="0"/>
    <n v="0.44290000000000002"/>
    <n v="7.82"/>
    <n v="64.5"/>
    <n v="4.6947000000000001"/>
    <n v="5"/>
    <n v="216"/>
    <n v="14.9"/>
    <n v="387.31"/>
    <n v="3.76"/>
    <n v="45.4"/>
    <x v="1"/>
    <x v="0"/>
    <x v="0"/>
  </r>
  <r>
    <n v="3.33"/>
    <n v="0"/>
    <n v="0.44290000000000002"/>
    <n v="6.968"/>
    <n v="37.200000000000003"/>
    <n v="5.2446999999999999"/>
    <n v="5"/>
    <n v="216"/>
    <n v="14.9"/>
    <n v="392.23"/>
    <n v="4.59"/>
    <n v="35.4"/>
    <x v="1"/>
    <x v="0"/>
    <x v="0"/>
  </r>
  <r>
    <n v="3.33"/>
    <n v="1"/>
    <n v="0.44290000000000002"/>
    <n v="7.6449999999999996"/>
    <n v="49.7"/>
    <n v="5.2119"/>
    <n v="5"/>
    <n v="216"/>
    <n v="14.9"/>
    <n v="377.07"/>
    <n v="3.01"/>
    <n v="46"/>
    <x v="1"/>
    <x v="0"/>
    <x v="0"/>
  </r>
  <r>
    <n v="1.21"/>
    <n v="1"/>
    <n v="0.40100000000000002"/>
    <n v="7.923"/>
    <n v="24.8"/>
    <n v="5.8849999999999998"/>
    <n v="1"/>
    <n v="198"/>
    <n v="13.6"/>
    <n v="395.52"/>
    <n v="3.16"/>
    <n v="50"/>
    <x v="1"/>
    <x v="0"/>
    <x v="0"/>
  </r>
  <r>
    <n v="2.97"/>
    <n v="0"/>
    <n v="0.4"/>
    <n v="7.0880000000000001"/>
    <n v="20.8"/>
    <n v="7.3072999999999997"/>
    <n v="1"/>
    <n v="285"/>
    <n v="15.3"/>
    <n v="394.72"/>
    <n v="7.85"/>
    <n v="32.200000000000003"/>
    <x v="1"/>
    <x v="0"/>
    <x v="0"/>
  </r>
  <r>
    <n v="2.25"/>
    <n v="0"/>
    <n v="0.38900000000000001"/>
    <n v="6.4530000000000003"/>
    <n v="31.9"/>
    <n v="7.3072999999999997"/>
    <n v="1"/>
    <n v="300"/>
    <n v="15.3"/>
    <n v="394.72"/>
    <n v="8.23"/>
    <n v="22"/>
    <x v="0"/>
    <x v="0"/>
    <x v="1"/>
  </r>
  <r>
    <n v="1.76"/>
    <n v="0"/>
    <n v="0.38500000000000001"/>
    <n v="6.23"/>
    <n v="31.5"/>
    <n v="9.0891999999999999"/>
    <n v="1"/>
    <n v="241"/>
    <n v="18.2"/>
    <n v="341.6"/>
    <n v="12.93"/>
    <n v="20.100000000000001"/>
    <x v="0"/>
    <x v="0"/>
    <x v="1"/>
  </r>
  <r>
    <n v="5.32"/>
    <n v="0"/>
    <n v="0.40500000000000003"/>
    <n v="6.2089999999999996"/>
    <n v="31.3"/>
    <n v="7.3171999999999997"/>
    <n v="6"/>
    <n v="293"/>
    <n v="16.600000000000001"/>
    <n v="396.9"/>
    <n v="7.14"/>
    <n v="23.2"/>
    <x v="0"/>
    <x v="0"/>
    <x v="1"/>
  </r>
  <r>
    <n v="5.32"/>
    <n v="0"/>
    <n v="0.40500000000000003"/>
    <n v="6.3150000000000004"/>
    <n v="45.6"/>
    <n v="7.3171999999999997"/>
    <n v="6"/>
    <n v="293"/>
    <n v="16.600000000000001"/>
    <n v="396.9"/>
    <n v="7.6"/>
    <n v="22.3"/>
    <x v="0"/>
    <x v="0"/>
    <x v="1"/>
  </r>
  <r>
    <n v="5.32"/>
    <n v="0"/>
    <n v="0.40500000000000003"/>
    <n v="6.5650000000000004"/>
    <n v="22.9"/>
    <n v="7.3171999999999997"/>
    <n v="6"/>
    <n v="293"/>
    <n v="16.600000000000001"/>
    <n v="371.72"/>
    <n v="9.51"/>
    <n v="24.8"/>
    <x v="0"/>
    <x v="0"/>
    <x v="0"/>
  </r>
  <r>
    <n v="4.95"/>
    <n v="0"/>
    <n v="0.41099999999999998"/>
    <n v="6.8609999999999998"/>
    <n v="27.9"/>
    <n v="5.1166999999999998"/>
    <n v="4"/>
    <n v="245"/>
    <n v="19.2"/>
    <n v="396.9"/>
    <n v="3.33"/>
    <n v="28.5"/>
    <x v="1"/>
    <x v="0"/>
    <x v="0"/>
  </r>
  <r>
    <n v="4.95"/>
    <n v="0"/>
    <n v="0.41099999999999998"/>
    <n v="7.1479999999999997"/>
    <n v="27.7"/>
    <n v="5.1166999999999998"/>
    <n v="4"/>
    <n v="245"/>
    <n v="19.2"/>
    <n v="396.9"/>
    <n v="3.56"/>
    <n v="37.299999999999997"/>
    <x v="1"/>
    <x v="0"/>
    <x v="0"/>
  </r>
  <r>
    <n v="4.95"/>
    <n v="0"/>
    <n v="0.41099999999999998"/>
    <n v="6.63"/>
    <n v="23.4"/>
    <n v="5.1166999999999998"/>
    <n v="4"/>
    <n v="245"/>
    <n v="19.2"/>
    <n v="396.9"/>
    <n v="4.7"/>
    <n v="27.9"/>
    <x v="1"/>
    <x v="0"/>
    <x v="0"/>
  </r>
  <r>
    <n v="13.92"/>
    <n v="0"/>
    <n v="0.437"/>
    <n v="6.1269999999999998"/>
    <n v="18.399999999999999"/>
    <n v="5.5026999999999999"/>
    <n v="4"/>
    <n v="289"/>
    <n v="16"/>
    <n v="396.9"/>
    <n v="8.58"/>
    <n v="23.9"/>
    <x v="0"/>
    <x v="0"/>
    <x v="1"/>
  </r>
  <r>
    <n v="13.92"/>
    <n v="0"/>
    <n v="0.437"/>
    <n v="6.0090000000000003"/>
    <n v="42.3"/>
    <n v="5.5026999999999999"/>
    <n v="4"/>
    <n v="289"/>
    <n v="16"/>
    <n v="396.9"/>
    <n v="10.4"/>
    <n v="21.7"/>
    <x v="0"/>
    <x v="0"/>
    <x v="1"/>
  </r>
  <r>
    <n v="13.92"/>
    <n v="0"/>
    <n v="0.437"/>
    <n v="6.6779999999999999"/>
    <n v="31.1"/>
    <n v="5.9603999999999999"/>
    <n v="4"/>
    <n v="289"/>
    <n v="16"/>
    <n v="396.9"/>
    <n v="6.27"/>
    <n v="28.6"/>
    <x v="1"/>
    <x v="0"/>
    <x v="0"/>
  </r>
  <r>
    <n v="13.92"/>
    <n v="0"/>
    <n v="0.437"/>
    <n v="6.5490000000000004"/>
    <n v="51"/>
    <n v="5.9603999999999999"/>
    <n v="4"/>
    <n v="289"/>
    <n v="16"/>
    <n v="392.85"/>
    <n v="7.39"/>
    <n v="27.1"/>
    <x v="1"/>
    <x v="0"/>
    <x v="0"/>
  </r>
  <r>
    <n v="13.92"/>
    <n v="0"/>
    <n v="0.437"/>
    <n v="5.79"/>
    <n v="58"/>
    <n v="6.32"/>
    <n v="4"/>
    <n v="289"/>
    <n v="16"/>
    <n v="396.9"/>
    <n v="15.84"/>
    <n v="20.3"/>
    <x v="0"/>
    <x v="0"/>
    <x v="1"/>
  </r>
  <r>
    <n v="2.2400000000000002"/>
    <n v="0"/>
    <n v="0.4"/>
    <n v="6.3449999999999998"/>
    <n v="20.100000000000001"/>
    <n v="7.8277999999999999"/>
    <n v="5"/>
    <n v="358"/>
    <n v="14.8"/>
    <n v="368.24"/>
    <n v="4.97"/>
    <n v="22.5"/>
    <x v="0"/>
    <x v="0"/>
    <x v="1"/>
  </r>
  <r>
    <n v="2.2400000000000002"/>
    <n v="0"/>
    <n v="0.4"/>
    <n v="7.0410000000000004"/>
    <n v="10"/>
    <n v="7.8277999999999999"/>
    <n v="5"/>
    <n v="358"/>
    <n v="14.8"/>
    <n v="371.58"/>
    <n v="4.74"/>
    <n v="29"/>
    <x v="1"/>
    <x v="0"/>
    <x v="0"/>
  </r>
  <r>
    <n v="2.2400000000000002"/>
    <n v="0"/>
    <n v="0.4"/>
    <n v="6.8710000000000004"/>
    <n v="47.4"/>
    <n v="7.8277999999999999"/>
    <n v="5"/>
    <n v="358"/>
    <n v="14.8"/>
    <n v="390.86"/>
    <n v="6.07"/>
    <n v="24.8"/>
    <x v="0"/>
    <x v="0"/>
    <x v="0"/>
  </r>
  <r>
    <n v="6.09"/>
    <n v="0"/>
    <n v="0.433"/>
    <n v="6.59"/>
    <n v="40.4"/>
    <n v="5.4916999999999998"/>
    <n v="7"/>
    <n v="329"/>
    <n v="16.100000000000001"/>
    <n v="395.75"/>
    <n v="9.5"/>
    <n v="22"/>
    <x v="0"/>
    <x v="0"/>
    <x v="0"/>
  </r>
  <r>
    <n v="6.09"/>
    <n v="0"/>
    <n v="0.433"/>
    <n v="6.4950000000000001"/>
    <n v="18.399999999999999"/>
    <n v="5.4916999999999998"/>
    <n v="7"/>
    <n v="329"/>
    <n v="16.100000000000001"/>
    <n v="383.61"/>
    <n v="8.67"/>
    <n v="26.4"/>
    <x v="1"/>
    <x v="0"/>
    <x v="1"/>
  </r>
  <r>
    <n v="6.09"/>
    <n v="0"/>
    <n v="0.433"/>
    <n v="6.9820000000000002"/>
    <n v="17.7"/>
    <n v="5.4916999999999998"/>
    <n v="7"/>
    <n v="329"/>
    <n v="16.100000000000001"/>
    <n v="390.43"/>
    <n v="4.8600000000000003"/>
    <n v="33.1"/>
    <x v="1"/>
    <x v="0"/>
    <x v="0"/>
  </r>
  <r>
    <n v="2.1800000000000002"/>
    <n v="0"/>
    <n v="0.47199999999999998"/>
    <n v="7.2359999999999998"/>
    <n v="41.1"/>
    <n v="4.0220000000000002"/>
    <n v="7"/>
    <n v="222"/>
    <n v="18.399999999999999"/>
    <n v="393.68"/>
    <n v="6.93"/>
    <n v="36.1"/>
    <x v="1"/>
    <x v="0"/>
    <x v="0"/>
  </r>
  <r>
    <n v="2.1800000000000002"/>
    <n v="0"/>
    <n v="0.47199999999999998"/>
    <n v="6.6159999999999997"/>
    <n v="58.1"/>
    <n v="3.37"/>
    <n v="7"/>
    <n v="222"/>
    <n v="18.399999999999999"/>
    <n v="393.36"/>
    <n v="8.93"/>
    <n v="28.4"/>
    <x v="1"/>
    <x v="0"/>
    <x v="0"/>
  </r>
  <r>
    <n v="2.1800000000000002"/>
    <n v="0"/>
    <n v="0.47199999999999998"/>
    <n v="7.42"/>
    <n v="71.900000000000006"/>
    <n v="3.0992000000000002"/>
    <n v="7"/>
    <n v="222"/>
    <n v="18.399999999999999"/>
    <n v="396.9"/>
    <n v="6.47"/>
    <n v="33.4"/>
    <x v="1"/>
    <x v="0"/>
    <x v="0"/>
  </r>
  <r>
    <n v="2.1800000000000002"/>
    <n v="0"/>
    <n v="0.47199999999999998"/>
    <n v="6.8490000000000002"/>
    <n v="70.3"/>
    <n v="3.1827000000000001"/>
    <n v="7"/>
    <n v="222"/>
    <n v="18.399999999999999"/>
    <n v="396.9"/>
    <n v="7.53"/>
    <n v="28.2"/>
    <x v="1"/>
    <x v="0"/>
    <x v="0"/>
  </r>
  <r>
    <n v="9.9"/>
    <n v="0"/>
    <n v="0.54400000000000004"/>
    <n v="6.6349999999999998"/>
    <n v="82.5"/>
    <n v="3.3174999999999999"/>
    <n v="4"/>
    <n v="304"/>
    <n v="18.399999999999999"/>
    <n v="396.9"/>
    <n v="4.54"/>
    <n v="22.8"/>
    <x v="0"/>
    <x v="0"/>
    <x v="0"/>
  </r>
  <r>
    <n v="9.9"/>
    <n v="0"/>
    <n v="0.54400000000000004"/>
    <n v="5.9720000000000004"/>
    <n v="76.7"/>
    <n v="3.1025"/>
    <n v="4"/>
    <n v="304"/>
    <n v="18.399999999999999"/>
    <n v="396.24"/>
    <n v="9.9700000000000006"/>
    <n v="20.3"/>
    <x v="0"/>
    <x v="0"/>
    <x v="1"/>
  </r>
  <r>
    <n v="9.9"/>
    <n v="0"/>
    <n v="0.54400000000000004"/>
    <n v="4.9729999999999999"/>
    <n v="37.799999999999997"/>
    <n v="2.5194000000000001"/>
    <n v="4"/>
    <n v="304"/>
    <n v="18.399999999999999"/>
    <n v="350.45"/>
    <n v="12.64"/>
    <n v="16.100000000000001"/>
    <x v="0"/>
    <x v="1"/>
    <x v="2"/>
  </r>
  <r>
    <n v="9.9"/>
    <n v="0"/>
    <n v="0.54400000000000004"/>
    <n v="6.1219999999999999"/>
    <n v="52.8"/>
    <n v="2.6402999999999999"/>
    <n v="4"/>
    <n v="304"/>
    <n v="18.399999999999999"/>
    <n v="396.9"/>
    <n v="5.98"/>
    <n v="22.1"/>
    <x v="0"/>
    <x v="0"/>
    <x v="1"/>
  </r>
  <r>
    <n v="9.9"/>
    <n v="0"/>
    <n v="0.54400000000000004"/>
    <n v="6.0229999999999997"/>
    <n v="90.4"/>
    <n v="2.8340000000000001"/>
    <n v="4"/>
    <n v="304"/>
    <n v="18.399999999999999"/>
    <n v="396.3"/>
    <n v="11.72"/>
    <n v="19.399999999999999"/>
    <x v="0"/>
    <x v="0"/>
    <x v="1"/>
  </r>
  <r>
    <n v="9.9"/>
    <n v="0"/>
    <n v="0.54400000000000004"/>
    <n v="6.266"/>
    <n v="82.8"/>
    <n v="3.2627999999999999"/>
    <n v="4"/>
    <n v="304"/>
    <n v="18.399999999999999"/>
    <n v="393.39"/>
    <n v="7.9"/>
    <n v="21.6"/>
    <x v="0"/>
    <x v="0"/>
    <x v="1"/>
  </r>
  <r>
    <n v="9.9"/>
    <n v="0"/>
    <n v="0.54400000000000004"/>
    <n v="6.5670000000000002"/>
    <n v="87.3"/>
    <n v="3.6023000000000001"/>
    <n v="4"/>
    <n v="304"/>
    <n v="18.399999999999999"/>
    <n v="395.69"/>
    <n v="9.2799999999999994"/>
    <n v="23.8"/>
    <x v="0"/>
    <x v="0"/>
    <x v="0"/>
  </r>
  <r>
    <n v="9.9"/>
    <n v="0"/>
    <n v="0.54400000000000004"/>
    <n v="5.7050000000000001"/>
    <n v="77.7"/>
    <n v="3.9449999999999998"/>
    <n v="4"/>
    <n v="304"/>
    <n v="18.399999999999999"/>
    <n v="396.42"/>
    <n v="11.5"/>
    <n v="16.2"/>
    <x v="0"/>
    <x v="0"/>
    <x v="1"/>
  </r>
  <r>
    <n v="9.9"/>
    <n v="0"/>
    <n v="0.54400000000000004"/>
    <n v="5.9139999999999997"/>
    <n v="83.2"/>
    <n v="3.9986000000000002"/>
    <n v="4"/>
    <n v="304"/>
    <n v="18.399999999999999"/>
    <n v="390.7"/>
    <n v="18.329999999999998"/>
    <n v="17.8"/>
    <x v="0"/>
    <x v="0"/>
    <x v="1"/>
  </r>
  <r>
    <n v="9.9"/>
    <n v="0"/>
    <n v="0.54400000000000004"/>
    <n v="5.782"/>
    <n v="71.7"/>
    <n v="4.0316999999999998"/>
    <n v="4"/>
    <n v="304"/>
    <n v="18.399999999999999"/>
    <n v="396.9"/>
    <n v="15.94"/>
    <n v="19.8"/>
    <x v="0"/>
    <x v="0"/>
    <x v="1"/>
  </r>
  <r>
    <n v="9.9"/>
    <n v="0"/>
    <n v="0.54400000000000004"/>
    <n v="6.3819999999999997"/>
    <n v="67.2"/>
    <n v="3.5325000000000002"/>
    <n v="4"/>
    <n v="304"/>
    <n v="18.399999999999999"/>
    <n v="395.21"/>
    <n v="10.36"/>
    <n v="23.1"/>
    <x v="0"/>
    <x v="0"/>
    <x v="1"/>
  </r>
  <r>
    <n v="9.9"/>
    <n v="0"/>
    <n v="0.54400000000000004"/>
    <n v="6.1130000000000004"/>
    <n v="58.8"/>
    <n v="4.0019"/>
    <n v="4"/>
    <n v="304"/>
    <n v="18.399999999999999"/>
    <n v="396.23"/>
    <n v="12.73"/>
    <n v="21"/>
    <x v="0"/>
    <x v="0"/>
    <x v="1"/>
  </r>
  <r>
    <n v="7.38"/>
    <n v="0"/>
    <n v="0.49299999999999999"/>
    <n v="6.4260000000000002"/>
    <n v="52.3"/>
    <n v="4.5404"/>
    <n v="5"/>
    <n v="287"/>
    <n v="19.600000000000001"/>
    <n v="396.9"/>
    <n v="7.2"/>
    <n v="23.8"/>
    <x v="0"/>
    <x v="0"/>
    <x v="1"/>
  </r>
  <r>
    <n v="7.38"/>
    <n v="0"/>
    <n v="0.49299999999999999"/>
    <n v="6.3760000000000003"/>
    <n v="54.3"/>
    <n v="4.5404"/>
    <n v="5"/>
    <n v="287"/>
    <n v="19.600000000000001"/>
    <n v="396.9"/>
    <n v="6.87"/>
    <n v="23.1"/>
    <x v="0"/>
    <x v="0"/>
    <x v="1"/>
  </r>
  <r>
    <n v="7.38"/>
    <n v="0"/>
    <n v="0.49299999999999999"/>
    <n v="6.0410000000000004"/>
    <n v="49.9"/>
    <n v="4.7210999999999999"/>
    <n v="5"/>
    <n v="287"/>
    <n v="19.600000000000001"/>
    <n v="396.9"/>
    <n v="7.7"/>
    <n v="20.399999999999999"/>
    <x v="0"/>
    <x v="0"/>
    <x v="1"/>
  </r>
  <r>
    <n v="7.38"/>
    <n v="0"/>
    <n v="0.49299999999999999"/>
    <n v="5.7080000000000002"/>
    <n v="74.3"/>
    <n v="4.7210999999999999"/>
    <n v="5"/>
    <n v="287"/>
    <n v="19.600000000000001"/>
    <n v="391.13"/>
    <n v="11.74"/>
    <n v="18.5"/>
    <x v="0"/>
    <x v="0"/>
    <x v="1"/>
  </r>
  <r>
    <n v="7.38"/>
    <n v="0"/>
    <n v="0.49299999999999999"/>
    <n v="6.415"/>
    <n v="40.1"/>
    <n v="4.7210999999999999"/>
    <n v="5"/>
    <n v="287"/>
    <n v="19.600000000000001"/>
    <n v="396.9"/>
    <n v="6.12"/>
    <n v="25"/>
    <x v="0"/>
    <x v="0"/>
    <x v="1"/>
  </r>
  <r>
    <n v="7.38"/>
    <n v="0"/>
    <n v="0.49299999999999999"/>
    <n v="6.431"/>
    <n v="14.7"/>
    <n v="5.4158999999999997"/>
    <n v="5"/>
    <n v="287"/>
    <n v="19.600000000000001"/>
    <n v="393.68"/>
    <n v="5.08"/>
    <n v="24.6"/>
    <x v="0"/>
    <x v="0"/>
    <x v="1"/>
  </r>
  <r>
    <n v="7.38"/>
    <n v="0"/>
    <n v="0.49299999999999999"/>
    <n v="6.3120000000000003"/>
    <n v="28.9"/>
    <n v="5.4158999999999997"/>
    <n v="5"/>
    <n v="287"/>
    <n v="19.600000000000001"/>
    <n v="396.9"/>
    <n v="6.15"/>
    <n v="23"/>
    <x v="0"/>
    <x v="0"/>
    <x v="1"/>
  </r>
  <r>
    <n v="7.38"/>
    <n v="0"/>
    <n v="0.49299999999999999"/>
    <n v="6.0830000000000002"/>
    <n v="43.7"/>
    <n v="5.4158999999999997"/>
    <n v="5"/>
    <n v="287"/>
    <n v="19.600000000000001"/>
    <n v="396.9"/>
    <n v="12.79"/>
    <n v="22.2"/>
    <x v="0"/>
    <x v="0"/>
    <x v="1"/>
  </r>
  <r>
    <n v="3.24"/>
    <n v="0"/>
    <n v="0.46"/>
    <n v="5.8680000000000003"/>
    <n v="25.8"/>
    <n v="5.2145999999999999"/>
    <n v="4"/>
    <n v="430"/>
    <n v="16.899999999999999"/>
    <n v="382.44"/>
    <n v="9.9700000000000006"/>
    <n v="19.3"/>
    <x v="0"/>
    <x v="0"/>
    <x v="1"/>
  </r>
  <r>
    <n v="3.24"/>
    <n v="0"/>
    <n v="0.46"/>
    <n v="6.3330000000000002"/>
    <n v="17.2"/>
    <n v="5.2145999999999999"/>
    <n v="4"/>
    <n v="430"/>
    <n v="16.899999999999999"/>
    <n v="375.21"/>
    <n v="7.34"/>
    <n v="22.6"/>
    <x v="0"/>
    <x v="0"/>
    <x v="1"/>
  </r>
  <r>
    <n v="3.24"/>
    <n v="0"/>
    <n v="0.46"/>
    <n v="6.1440000000000001"/>
    <n v="32.200000000000003"/>
    <n v="5.8735999999999997"/>
    <n v="4"/>
    <n v="430"/>
    <n v="16.899999999999999"/>
    <n v="368.57"/>
    <n v="9.09"/>
    <n v="19.8"/>
    <x v="0"/>
    <x v="0"/>
    <x v="1"/>
  </r>
  <r>
    <n v="6.06"/>
    <n v="0"/>
    <n v="0.43790000000000001"/>
    <n v="5.7060000000000004"/>
    <n v="28.4"/>
    <n v="6.6406999999999998"/>
    <n v="1"/>
    <n v="304"/>
    <n v="16.899999999999999"/>
    <n v="394.02"/>
    <n v="12.43"/>
    <n v="17.100000000000001"/>
    <x v="0"/>
    <x v="0"/>
    <x v="1"/>
  </r>
  <r>
    <n v="6.06"/>
    <n v="0"/>
    <n v="0.43790000000000001"/>
    <n v="6.0309999999999997"/>
    <n v="23.3"/>
    <n v="6.6406999999999998"/>
    <n v="1"/>
    <n v="304"/>
    <n v="16.899999999999999"/>
    <n v="362.25"/>
    <n v="7.83"/>
    <n v="19.399999999999999"/>
    <x v="0"/>
    <x v="0"/>
    <x v="1"/>
  </r>
  <r>
    <n v="5.19"/>
    <n v="0"/>
    <n v="0.51500000000000001"/>
    <n v="6.3159999999999998"/>
    <n v="38.1"/>
    <n v="6.4584000000000001"/>
    <n v="5"/>
    <n v="224"/>
    <n v="20.2"/>
    <n v="389.71"/>
    <n v="5.68"/>
    <n v="22.2"/>
    <x v="0"/>
    <x v="0"/>
    <x v="1"/>
  </r>
  <r>
    <n v="5.19"/>
    <n v="0"/>
    <n v="0.51500000000000001"/>
    <n v="6.31"/>
    <n v="38.5"/>
    <n v="6.4584000000000001"/>
    <n v="5"/>
    <n v="224"/>
    <n v="20.2"/>
    <n v="389.4"/>
    <n v="6.75"/>
    <n v="20.7"/>
    <x v="0"/>
    <x v="0"/>
    <x v="1"/>
  </r>
  <r>
    <n v="5.19"/>
    <n v="0"/>
    <n v="0.51500000000000001"/>
    <n v="6.0369999999999999"/>
    <n v="34.5"/>
    <n v="5.9852999999999996"/>
    <n v="5"/>
    <n v="224"/>
    <n v="20.2"/>
    <n v="396.9"/>
    <n v="8.01"/>
    <n v="21.1"/>
    <x v="0"/>
    <x v="0"/>
    <x v="1"/>
  </r>
  <r>
    <n v="5.19"/>
    <n v="0"/>
    <n v="0.51500000000000001"/>
    <n v="5.8689999999999998"/>
    <n v="46.3"/>
    <n v="5.2310999999999996"/>
    <n v="5"/>
    <n v="224"/>
    <n v="20.2"/>
    <n v="396.9"/>
    <n v="9.8000000000000007"/>
    <n v="19.5"/>
    <x v="0"/>
    <x v="0"/>
    <x v="1"/>
  </r>
  <r>
    <n v="5.19"/>
    <n v="0"/>
    <n v="0.51500000000000001"/>
    <n v="5.8949999999999996"/>
    <n v="59.6"/>
    <n v="5.6150000000000002"/>
    <n v="5"/>
    <n v="224"/>
    <n v="20.2"/>
    <n v="394.81"/>
    <n v="10.56"/>
    <n v="18.5"/>
    <x v="0"/>
    <x v="0"/>
    <x v="1"/>
  </r>
  <r>
    <n v="5.19"/>
    <n v="0"/>
    <n v="0.51500000000000001"/>
    <n v="6.0590000000000002"/>
    <n v="37.299999999999997"/>
    <n v="4.8121999999999998"/>
    <n v="5"/>
    <n v="224"/>
    <n v="20.2"/>
    <n v="396.14"/>
    <n v="8.51"/>
    <n v="20.6"/>
    <x v="0"/>
    <x v="0"/>
    <x v="1"/>
  </r>
  <r>
    <n v="5.19"/>
    <n v="0"/>
    <n v="0.51500000000000001"/>
    <n v="5.9850000000000003"/>
    <n v="45.4"/>
    <n v="4.8121999999999998"/>
    <n v="5"/>
    <n v="224"/>
    <n v="20.2"/>
    <n v="396.9"/>
    <n v="9.74"/>
    <n v="19"/>
    <x v="0"/>
    <x v="0"/>
    <x v="1"/>
  </r>
  <r>
    <n v="5.19"/>
    <n v="0"/>
    <n v="0.51500000000000001"/>
    <n v="5.968"/>
    <n v="58.5"/>
    <n v="4.8121999999999998"/>
    <n v="5"/>
    <n v="224"/>
    <n v="20.2"/>
    <n v="396.9"/>
    <n v="9.2899999999999991"/>
    <n v="18.7"/>
    <x v="0"/>
    <x v="0"/>
    <x v="1"/>
  </r>
  <r>
    <n v="1.52"/>
    <n v="0"/>
    <n v="0.442"/>
    <n v="7.2409999999999997"/>
    <n v="49.3"/>
    <n v="7.0378999999999996"/>
    <n v="1"/>
    <n v="284"/>
    <n v="15.5"/>
    <n v="394.74"/>
    <n v="5.49"/>
    <n v="32.700000000000003"/>
    <x v="1"/>
    <x v="0"/>
    <x v="0"/>
  </r>
  <r>
    <n v="1.89"/>
    <n v="0"/>
    <n v="0.51800000000000002"/>
    <n v="6.54"/>
    <n v="59.7"/>
    <n v="6.2668999999999997"/>
    <n v="1"/>
    <n v="422"/>
    <n v="15.9"/>
    <n v="389.96"/>
    <n v="8.65"/>
    <n v="16.5"/>
    <x v="0"/>
    <x v="0"/>
    <x v="0"/>
  </r>
  <r>
    <n v="3.78"/>
    <n v="0"/>
    <n v="0.48399999999999999"/>
    <n v="6.6959999999999997"/>
    <n v="56.4"/>
    <n v="5.7321"/>
    <n v="5"/>
    <n v="370"/>
    <n v="17.600000000000001"/>
    <n v="396.9"/>
    <n v="7.18"/>
    <n v="23.9"/>
    <x v="0"/>
    <x v="0"/>
    <x v="0"/>
  </r>
  <r>
    <n v="3.78"/>
    <n v="0"/>
    <n v="0.48399999999999999"/>
    <n v="6.8739999999999997"/>
    <n v="28.1"/>
    <n v="6.4653999999999998"/>
    <n v="5"/>
    <n v="370"/>
    <n v="17.600000000000001"/>
    <n v="387.97"/>
    <n v="4.6100000000000003"/>
    <n v="31.2"/>
    <x v="1"/>
    <x v="0"/>
    <x v="0"/>
  </r>
  <r>
    <n v="4.3899999999999997"/>
    <n v="0"/>
    <n v="0.442"/>
    <n v="6.0140000000000002"/>
    <n v="48.5"/>
    <n v="8.0136000000000003"/>
    <n v="3"/>
    <n v="352"/>
    <n v="18.8"/>
    <n v="385.64"/>
    <n v="10.53"/>
    <n v="17.5"/>
    <x v="0"/>
    <x v="0"/>
    <x v="1"/>
  </r>
  <r>
    <n v="4.3899999999999997"/>
    <n v="0"/>
    <n v="0.442"/>
    <n v="5.8979999999999997"/>
    <n v="52.3"/>
    <n v="8.0136000000000003"/>
    <n v="3"/>
    <n v="352"/>
    <n v="18.8"/>
    <n v="364.61"/>
    <n v="12.67"/>
    <n v="17.2"/>
    <x v="0"/>
    <x v="0"/>
    <x v="1"/>
  </r>
  <r>
    <n v="4.1500000000000004"/>
    <n v="0"/>
    <n v="0.42899999999999999"/>
    <n v="6.516"/>
    <n v="27.7"/>
    <n v="8.5352999999999994"/>
    <n v="4"/>
    <n v="351"/>
    <n v="17.899999999999999"/>
    <n v="392.43"/>
    <n v="6.36"/>
    <n v="23.1"/>
    <x v="0"/>
    <x v="0"/>
    <x v="0"/>
  </r>
  <r>
    <n v="2.0099999999999998"/>
    <n v="0"/>
    <n v="0.435"/>
    <n v="6.6349999999999998"/>
    <n v="29.7"/>
    <n v="8.3439999999999994"/>
    <n v="4"/>
    <n v="280"/>
    <n v="17"/>
    <n v="390.94"/>
    <n v="5.99"/>
    <n v="24.5"/>
    <x v="0"/>
    <x v="0"/>
    <x v="0"/>
  </r>
  <r>
    <n v="1.25"/>
    <n v="0"/>
    <n v="0.42899999999999999"/>
    <n v="6.9390000000000001"/>
    <n v="34.5"/>
    <n v="8.7920999999999996"/>
    <n v="1"/>
    <n v="335"/>
    <n v="19.7"/>
    <n v="389.85"/>
    <n v="5.89"/>
    <n v="26.6"/>
    <x v="1"/>
    <x v="0"/>
    <x v="0"/>
  </r>
  <r>
    <n v="1.25"/>
    <n v="0"/>
    <n v="0.42899999999999999"/>
    <n v="6.49"/>
    <n v="44.4"/>
    <n v="8.7920999999999996"/>
    <n v="1"/>
    <n v="335"/>
    <n v="19.7"/>
    <n v="396.9"/>
    <n v="5.98"/>
    <n v="22.9"/>
    <x v="0"/>
    <x v="0"/>
    <x v="1"/>
  </r>
  <r>
    <n v="1.69"/>
    <n v="0"/>
    <n v="0.41099999999999998"/>
    <n v="6.5789999999999997"/>
    <n v="35.9"/>
    <n v="10.7103"/>
    <n v="4"/>
    <n v="411"/>
    <n v="18.3"/>
    <n v="370.78"/>
    <n v="5.49"/>
    <n v="24.1"/>
    <x v="0"/>
    <x v="0"/>
    <x v="0"/>
  </r>
  <r>
    <n v="1.69"/>
    <n v="0"/>
    <n v="0.41099999999999998"/>
    <n v="5.8840000000000003"/>
    <n v="18.5"/>
    <n v="10.7103"/>
    <n v="4"/>
    <n v="411"/>
    <n v="18.3"/>
    <n v="392.33"/>
    <n v="7.79"/>
    <n v="18.600000000000001"/>
    <x v="0"/>
    <x v="0"/>
    <x v="1"/>
  </r>
  <r>
    <n v="2.02"/>
    <n v="0"/>
    <n v="0.41"/>
    <n v="6.7279999999999998"/>
    <n v="36.1"/>
    <n v="12.1265"/>
    <n v="5"/>
    <n v="187"/>
    <n v="17"/>
    <n v="384.46"/>
    <n v="4.5"/>
    <n v="30.1"/>
    <x v="1"/>
    <x v="0"/>
    <x v="0"/>
  </r>
  <r>
    <n v="1.91"/>
    <n v="0"/>
    <n v="0.41299999999999998"/>
    <n v="5.6630000000000003"/>
    <n v="21.9"/>
    <n v="10.585699999999999"/>
    <n v="4"/>
    <n v="334"/>
    <n v="22"/>
    <n v="382.8"/>
    <n v="8.0500000000000007"/>
    <n v="18.2"/>
    <x v="0"/>
    <x v="0"/>
    <x v="1"/>
  </r>
  <r>
    <n v="1.91"/>
    <n v="0"/>
    <n v="0.41299999999999998"/>
    <n v="5.9359999999999999"/>
    <n v="19.5"/>
    <n v="10.585699999999999"/>
    <n v="4"/>
    <n v="334"/>
    <n v="22"/>
    <n v="376.04"/>
    <n v="5.57"/>
    <n v="20.6"/>
    <x v="0"/>
    <x v="0"/>
    <x v="1"/>
  </r>
  <r>
    <n v="18.100000000000001"/>
    <n v="1"/>
    <n v="0.77"/>
    <n v="6.2119999999999997"/>
    <n v="97.4"/>
    <n v="2.1221999999999999"/>
    <n v="24"/>
    <n v="666"/>
    <n v="20.2"/>
    <n v="377.73"/>
    <n v="17.600000000000001"/>
    <n v="17.8"/>
    <x v="0"/>
    <x v="1"/>
    <x v="1"/>
  </r>
  <r>
    <n v="18.100000000000001"/>
    <n v="1"/>
    <n v="0.77"/>
    <n v="6.3949999999999996"/>
    <n v="91"/>
    <n v="2.5051999999999999"/>
    <n v="24"/>
    <n v="666"/>
    <n v="20.2"/>
    <n v="391.34"/>
    <n v="13.27"/>
    <n v="21.7"/>
    <x v="0"/>
    <x v="1"/>
    <x v="1"/>
  </r>
  <r>
    <n v="18.100000000000001"/>
    <n v="1"/>
    <n v="0.77"/>
    <n v="6.1269999999999998"/>
    <n v="83.4"/>
    <n v="2.7227000000000001"/>
    <n v="24"/>
    <n v="666"/>
    <n v="20.2"/>
    <n v="395.43"/>
    <n v="11.48"/>
    <n v="22.7"/>
    <x v="0"/>
    <x v="1"/>
    <x v="1"/>
  </r>
  <r>
    <n v="18.100000000000001"/>
    <n v="0"/>
    <n v="0.77"/>
    <n v="6.1120000000000001"/>
    <n v="81.3"/>
    <n v="2.5091000000000001"/>
    <n v="24"/>
    <n v="666"/>
    <n v="20.2"/>
    <n v="390.74"/>
    <n v="12.67"/>
    <n v="22.6"/>
    <x v="0"/>
    <x v="1"/>
    <x v="1"/>
  </r>
  <r>
    <n v="18.100000000000001"/>
    <n v="0"/>
    <n v="0.77"/>
    <n v="6.3979999999999997"/>
    <n v="88"/>
    <n v="2.5182000000000002"/>
    <n v="24"/>
    <n v="666"/>
    <n v="20.2"/>
    <n v="374.56"/>
    <n v="7.79"/>
    <n v="25"/>
    <x v="0"/>
    <x v="1"/>
    <x v="1"/>
  </r>
  <r>
    <n v="18.100000000000001"/>
    <n v="0"/>
    <n v="0.77"/>
    <n v="6.2510000000000003"/>
    <n v="91.1"/>
    <n v="2.2955000000000001"/>
    <n v="24"/>
    <n v="666"/>
    <n v="20.2"/>
    <n v="350.65"/>
    <n v="14.19"/>
    <n v="19.899999999999999"/>
    <x v="0"/>
    <x v="1"/>
    <x v="1"/>
  </r>
  <r>
    <n v="18.100000000000001"/>
    <n v="0"/>
    <n v="0.77"/>
    <n v="5.3620000000000001"/>
    <n v="96.2"/>
    <n v="2.1036000000000001"/>
    <n v="24"/>
    <n v="666"/>
    <n v="20.2"/>
    <n v="380.79"/>
    <n v="10.19"/>
    <n v="20.8"/>
    <x v="0"/>
    <x v="1"/>
    <x v="2"/>
  </r>
  <r>
    <n v="18.100000000000001"/>
    <n v="1"/>
    <n v="0.77"/>
    <n v="5.8029999999999999"/>
    <n v="89"/>
    <n v="1.9047000000000001"/>
    <n v="24"/>
    <n v="666"/>
    <n v="20.2"/>
    <n v="353.04"/>
    <n v="14.64"/>
    <n v="16.8"/>
    <x v="0"/>
    <x v="1"/>
    <x v="1"/>
  </r>
  <r>
    <n v="18.100000000000001"/>
    <n v="1"/>
    <n v="0.71799999999999997"/>
    <n v="8.7799999999999994"/>
    <n v="82.9"/>
    <n v="1.9047000000000001"/>
    <n v="24"/>
    <n v="666"/>
    <n v="20.2"/>
    <n v="354.55"/>
    <n v="5.29"/>
    <n v="21.9"/>
    <x v="0"/>
    <x v="1"/>
    <x v="0"/>
  </r>
  <r>
    <n v="18.100000000000001"/>
    <n v="0"/>
    <n v="0.71799999999999997"/>
    <n v="3.5609999999999999"/>
    <n v="87.9"/>
    <n v="1.6132"/>
    <n v="24"/>
    <n v="666"/>
    <n v="20.2"/>
    <n v="354.7"/>
    <n v="7.12"/>
    <n v="27.5"/>
    <x v="1"/>
    <x v="1"/>
    <x v="2"/>
  </r>
  <r>
    <n v="18.100000000000001"/>
    <n v="0"/>
    <n v="0.71799999999999997"/>
    <n v="4.9630000000000001"/>
    <n v="91.4"/>
    <n v="1.7523"/>
    <n v="24"/>
    <n v="666"/>
    <n v="20.2"/>
    <n v="316.02999999999997"/>
    <n v="14"/>
    <n v="21.9"/>
    <x v="0"/>
    <x v="1"/>
    <x v="2"/>
  </r>
  <r>
    <n v="18.100000000000001"/>
    <n v="0"/>
    <n v="0.63100000000000001"/>
    <n v="3.863"/>
    <n v="100"/>
    <n v="1.5105999999999999"/>
    <n v="24"/>
    <n v="666"/>
    <n v="20.2"/>
    <n v="131.41999999999999"/>
    <n v="13.33"/>
    <n v="23.1"/>
    <x v="0"/>
    <x v="2"/>
    <x v="2"/>
  </r>
  <r>
    <n v="18.100000000000001"/>
    <n v="0"/>
    <n v="0.63100000000000001"/>
    <n v="4.97"/>
    <n v="100"/>
    <n v="1.3325"/>
    <n v="24"/>
    <n v="666"/>
    <n v="20.2"/>
    <n v="375.52"/>
    <n v="3.26"/>
    <n v="50"/>
    <x v="1"/>
    <x v="1"/>
    <x v="2"/>
  </r>
  <r>
    <n v="18.100000000000001"/>
    <n v="1"/>
    <n v="0.63100000000000001"/>
    <n v="6.6829999999999998"/>
    <n v="96.8"/>
    <n v="1.3567"/>
    <n v="24"/>
    <n v="666"/>
    <n v="20.2"/>
    <n v="375.33"/>
    <n v="3.73"/>
    <n v="50"/>
    <x v="1"/>
    <x v="1"/>
    <x v="0"/>
  </r>
  <r>
    <n v="18.100000000000001"/>
    <n v="1"/>
    <n v="0.63100000000000001"/>
    <n v="7.016"/>
    <n v="97.5"/>
    <n v="1.2023999999999999"/>
    <n v="24"/>
    <n v="666"/>
    <n v="20.2"/>
    <n v="392.05"/>
    <n v="2.96"/>
    <n v="50"/>
    <x v="1"/>
    <x v="1"/>
    <x v="0"/>
  </r>
  <r>
    <n v="18.100000000000001"/>
    <n v="0"/>
    <n v="0.63100000000000001"/>
    <n v="6.2160000000000002"/>
    <n v="100"/>
    <n v="1.1691"/>
    <n v="24"/>
    <n v="666"/>
    <n v="20.2"/>
    <n v="366.15"/>
    <n v="9.5299999999999994"/>
    <n v="50"/>
    <x v="1"/>
    <x v="1"/>
    <x v="1"/>
  </r>
  <r>
    <n v="18.100000000000001"/>
    <n v="1"/>
    <n v="0.66800000000000004"/>
    <n v="5.875"/>
    <n v="89.6"/>
    <n v="1.1295999999999999"/>
    <n v="24"/>
    <n v="666"/>
    <n v="20.2"/>
    <n v="347.88"/>
    <n v="8.8800000000000008"/>
    <n v="50"/>
    <x v="1"/>
    <x v="1"/>
    <x v="1"/>
  </r>
  <r>
    <n v="18.100000000000001"/>
    <n v="0"/>
    <n v="0.66800000000000004"/>
    <n v="4.9059999999999997"/>
    <n v="100"/>
    <n v="1.1741999999999999"/>
    <n v="24"/>
    <n v="666"/>
    <n v="20.2"/>
    <n v="396.9"/>
    <n v="34.770000000000003"/>
    <n v="13.8"/>
    <x v="2"/>
    <x v="2"/>
    <x v="2"/>
  </r>
  <r>
    <n v="18.100000000000001"/>
    <n v="0"/>
    <n v="0.66800000000000004"/>
    <n v="4.1379999999999999"/>
    <n v="100"/>
    <n v="1.137"/>
    <n v="24"/>
    <n v="666"/>
    <n v="20.2"/>
    <n v="396.9"/>
    <n v="37.97"/>
    <n v="13.8"/>
    <x v="2"/>
    <x v="2"/>
    <x v="2"/>
  </r>
  <r>
    <n v="18.100000000000001"/>
    <n v="0"/>
    <n v="0.67100000000000004"/>
    <n v="7.3129999999999997"/>
    <n v="97.9"/>
    <n v="1.3163"/>
    <n v="24"/>
    <n v="666"/>
    <n v="20.2"/>
    <n v="396.9"/>
    <n v="13.44"/>
    <n v="15"/>
    <x v="2"/>
    <x v="2"/>
    <x v="0"/>
  </r>
  <r>
    <n v="18.100000000000001"/>
    <n v="0"/>
    <n v="0.67100000000000004"/>
    <n v="6.649"/>
    <n v="93.3"/>
    <n v="1.3449"/>
    <n v="24"/>
    <n v="666"/>
    <n v="20.2"/>
    <n v="363.02"/>
    <n v="23.24"/>
    <n v="13.9"/>
    <x v="2"/>
    <x v="2"/>
    <x v="0"/>
  </r>
  <r>
    <n v="18.100000000000001"/>
    <n v="0"/>
    <n v="0.67100000000000004"/>
    <n v="6.7939999999999996"/>
    <n v="98.8"/>
    <n v="1.3580000000000001"/>
    <n v="24"/>
    <n v="666"/>
    <n v="20.2"/>
    <n v="396.9"/>
    <n v="21.24"/>
    <n v="13.3"/>
    <x v="2"/>
    <x v="1"/>
    <x v="0"/>
  </r>
  <r>
    <n v="18.100000000000001"/>
    <n v="0"/>
    <n v="0.67100000000000004"/>
    <n v="6.38"/>
    <n v="96.2"/>
    <n v="1.3861000000000001"/>
    <n v="24"/>
    <n v="666"/>
    <n v="20.2"/>
    <n v="396.9"/>
    <n v="23.69"/>
    <n v="13.1"/>
    <x v="2"/>
    <x v="2"/>
    <x v="1"/>
  </r>
  <r>
    <n v="18.100000000000001"/>
    <n v="0"/>
    <n v="0.67100000000000004"/>
    <n v="6.2229999999999999"/>
    <n v="100"/>
    <n v="1.3861000000000001"/>
    <n v="24"/>
    <n v="666"/>
    <n v="20.2"/>
    <n v="393.74"/>
    <n v="21.78"/>
    <n v="10.199999999999999"/>
    <x v="2"/>
    <x v="2"/>
    <x v="1"/>
  </r>
  <r>
    <n v="18.100000000000001"/>
    <n v="0"/>
    <n v="0.67100000000000004"/>
    <n v="6.968"/>
    <n v="91.9"/>
    <n v="1.4165000000000001"/>
    <n v="24"/>
    <n v="666"/>
    <n v="20.2"/>
    <n v="396.9"/>
    <n v="17.21"/>
    <n v="10.4"/>
    <x v="2"/>
    <x v="2"/>
    <x v="0"/>
  </r>
  <r>
    <n v="18.100000000000001"/>
    <n v="0"/>
    <n v="0.67100000000000004"/>
    <n v="6.5449999999999999"/>
    <n v="99.1"/>
    <n v="1.5192000000000001"/>
    <n v="24"/>
    <n v="666"/>
    <n v="20.2"/>
    <n v="396.9"/>
    <n v="21.08"/>
    <n v="10.9"/>
    <x v="2"/>
    <x v="2"/>
    <x v="0"/>
  </r>
  <r>
    <n v="18.100000000000001"/>
    <n v="0"/>
    <n v="0.7"/>
    <n v="5.5359999999999996"/>
    <n v="100"/>
    <n v="1.5804"/>
    <n v="24"/>
    <n v="666"/>
    <n v="20.2"/>
    <n v="396.9"/>
    <n v="23.6"/>
    <n v="11.3"/>
    <x v="2"/>
    <x v="1"/>
    <x v="1"/>
  </r>
  <r>
    <n v="18.100000000000001"/>
    <n v="0"/>
    <n v="0.7"/>
    <n v="5.52"/>
    <n v="100"/>
    <n v="1.5330999999999999"/>
    <n v="24"/>
    <n v="666"/>
    <n v="20.2"/>
    <n v="396.9"/>
    <n v="24.56"/>
    <n v="12.3"/>
    <x v="2"/>
    <x v="1"/>
    <x v="1"/>
  </r>
  <r>
    <n v="18.100000000000001"/>
    <n v="0"/>
    <n v="0.7"/>
    <n v="4.3680000000000003"/>
    <n v="91.2"/>
    <n v="1.4395"/>
    <n v="24"/>
    <n v="666"/>
    <n v="20.2"/>
    <n v="285.83"/>
    <n v="30.63"/>
    <n v="8.8000000000000007"/>
    <x v="2"/>
    <x v="2"/>
    <x v="2"/>
  </r>
  <r>
    <n v="18.100000000000001"/>
    <n v="0"/>
    <n v="0.7"/>
    <n v="5.2770000000000001"/>
    <n v="98.1"/>
    <n v="1.4260999999999999"/>
    <n v="24"/>
    <n v="666"/>
    <n v="20.2"/>
    <n v="396.9"/>
    <n v="30.81"/>
    <n v="7.2"/>
    <x v="2"/>
    <x v="2"/>
    <x v="2"/>
  </r>
  <r>
    <n v="18.100000000000001"/>
    <n v="0"/>
    <n v="0.7"/>
    <n v="4.6520000000000001"/>
    <n v="100"/>
    <n v="1.4672000000000001"/>
    <n v="24"/>
    <n v="666"/>
    <n v="20.2"/>
    <n v="396.9"/>
    <n v="28.28"/>
    <n v="10.5"/>
    <x v="2"/>
    <x v="2"/>
    <x v="2"/>
  </r>
  <r>
    <n v="18.100000000000001"/>
    <n v="0"/>
    <n v="0.7"/>
    <n v="5"/>
    <n v="89.5"/>
    <n v="1.5184"/>
    <n v="24"/>
    <n v="666"/>
    <n v="20.2"/>
    <n v="396.9"/>
    <n v="31.99"/>
    <n v="7.4"/>
    <x v="2"/>
    <x v="2"/>
    <x v="2"/>
  </r>
  <r>
    <n v="18.100000000000001"/>
    <n v="0"/>
    <n v="0.7"/>
    <n v="4.88"/>
    <n v="100"/>
    <n v="1.5894999999999999"/>
    <n v="24"/>
    <n v="666"/>
    <n v="20.2"/>
    <n v="372.92"/>
    <n v="30.62"/>
    <n v="10.199999999999999"/>
    <x v="2"/>
    <x v="2"/>
    <x v="2"/>
  </r>
  <r>
    <n v="18.100000000000001"/>
    <n v="0"/>
    <n v="0.7"/>
    <n v="5.39"/>
    <n v="98.9"/>
    <n v="1.7281"/>
    <n v="24"/>
    <n v="666"/>
    <n v="20.2"/>
    <n v="396.9"/>
    <n v="20.85"/>
    <n v="11.5"/>
    <x v="2"/>
    <x v="1"/>
    <x v="2"/>
  </r>
  <r>
    <n v="18.100000000000001"/>
    <n v="0"/>
    <n v="0.7"/>
    <n v="5.7130000000000001"/>
    <n v="97"/>
    <n v="1.9265000000000001"/>
    <n v="24"/>
    <n v="666"/>
    <n v="20.2"/>
    <n v="394.43"/>
    <n v="17.11"/>
    <n v="15.1"/>
    <x v="0"/>
    <x v="1"/>
    <x v="1"/>
  </r>
  <r>
    <n v="18.100000000000001"/>
    <n v="0"/>
    <n v="0.7"/>
    <n v="6.0510000000000002"/>
    <n v="82.5"/>
    <n v="2.1678000000000002"/>
    <n v="24"/>
    <n v="666"/>
    <n v="20.2"/>
    <n v="378.38"/>
    <n v="18.760000000000002"/>
    <n v="23.2"/>
    <x v="0"/>
    <x v="1"/>
    <x v="1"/>
  </r>
  <r>
    <n v="18.100000000000001"/>
    <n v="0"/>
    <n v="0.7"/>
    <n v="5.0359999999999996"/>
    <n v="97"/>
    <n v="1.77"/>
    <n v="24"/>
    <n v="666"/>
    <n v="20.2"/>
    <n v="396.9"/>
    <n v="25.68"/>
    <n v="9.6999999999999993"/>
    <x v="2"/>
    <x v="2"/>
    <x v="2"/>
  </r>
  <r>
    <n v="18.100000000000001"/>
    <n v="0"/>
    <n v="0.69299999999999995"/>
    <n v="6.1929999999999996"/>
    <n v="92.6"/>
    <n v="1.7911999999999999"/>
    <n v="24"/>
    <n v="666"/>
    <n v="20.2"/>
    <n v="396.9"/>
    <n v="15.17"/>
    <n v="13.8"/>
    <x v="2"/>
    <x v="1"/>
    <x v="1"/>
  </r>
  <r>
    <n v="18.100000000000001"/>
    <n v="0"/>
    <n v="0.69299999999999995"/>
    <n v="5.8869999999999996"/>
    <n v="94.7"/>
    <n v="1.7821"/>
    <n v="24"/>
    <n v="666"/>
    <n v="20.2"/>
    <n v="396.9"/>
    <n v="16.350000000000001"/>
    <n v="12.7"/>
    <x v="2"/>
    <x v="2"/>
    <x v="1"/>
  </r>
  <r>
    <n v="18.100000000000001"/>
    <n v="0"/>
    <n v="0.69299999999999995"/>
    <n v="6.4710000000000001"/>
    <n v="98.8"/>
    <n v="1.7257"/>
    <n v="24"/>
    <n v="666"/>
    <n v="20.2"/>
    <n v="391.98"/>
    <n v="17.12"/>
    <n v="13.1"/>
    <x v="2"/>
    <x v="1"/>
    <x v="1"/>
  </r>
  <r>
    <n v="18.100000000000001"/>
    <n v="0"/>
    <n v="0.69299999999999995"/>
    <n v="6.4050000000000002"/>
    <n v="96"/>
    <n v="1.6768000000000001"/>
    <n v="24"/>
    <n v="666"/>
    <n v="20.2"/>
    <n v="396.9"/>
    <n v="19.37"/>
    <n v="12.5"/>
    <x v="2"/>
    <x v="1"/>
    <x v="1"/>
  </r>
  <r>
    <n v="18.100000000000001"/>
    <n v="0"/>
    <n v="0.69299999999999995"/>
    <n v="5.7469999999999999"/>
    <n v="98.9"/>
    <n v="1.6334"/>
    <n v="24"/>
    <n v="666"/>
    <n v="20.2"/>
    <n v="393.1"/>
    <n v="19.920000000000002"/>
    <n v="8.5"/>
    <x v="2"/>
    <x v="1"/>
    <x v="1"/>
  </r>
  <r>
    <n v="18.100000000000001"/>
    <n v="0"/>
    <n v="0.69299999999999995"/>
    <n v="5.4530000000000003"/>
    <n v="100"/>
    <n v="1.4896"/>
    <n v="24"/>
    <n v="666"/>
    <n v="20.2"/>
    <n v="396.9"/>
    <n v="30.59"/>
    <n v="5"/>
    <x v="2"/>
    <x v="2"/>
    <x v="2"/>
  </r>
  <r>
    <n v="18.100000000000001"/>
    <n v="0"/>
    <n v="0.69299999999999995"/>
    <n v="5.8520000000000003"/>
    <n v="77.8"/>
    <n v="1.5004"/>
    <n v="24"/>
    <n v="666"/>
    <n v="20.2"/>
    <n v="338.16"/>
    <n v="29.97"/>
    <n v="6.3"/>
    <x v="2"/>
    <x v="1"/>
    <x v="1"/>
  </r>
  <r>
    <n v="18.100000000000001"/>
    <n v="0"/>
    <n v="0.69299999999999995"/>
    <n v="5.9870000000000001"/>
    <n v="100"/>
    <n v="1.5888"/>
    <n v="24"/>
    <n v="666"/>
    <n v="20.2"/>
    <n v="396.9"/>
    <n v="26.77"/>
    <n v="5.6"/>
    <x v="2"/>
    <x v="2"/>
    <x v="1"/>
  </r>
  <r>
    <n v="18.100000000000001"/>
    <n v="0"/>
    <n v="0.69299999999999995"/>
    <n v="6.343"/>
    <n v="100"/>
    <n v="1.5741000000000001"/>
    <n v="24"/>
    <n v="666"/>
    <n v="20.2"/>
    <n v="396.9"/>
    <n v="20.32"/>
    <n v="7.2"/>
    <x v="2"/>
    <x v="2"/>
    <x v="1"/>
  </r>
  <r>
    <n v="18.100000000000001"/>
    <n v="0"/>
    <n v="0.69299999999999995"/>
    <n v="6.4039999999999999"/>
    <n v="100"/>
    <n v="1.639"/>
    <n v="24"/>
    <n v="666"/>
    <n v="20.2"/>
    <n v="376.11"/>
    <n v="20.309999999999999"/>
    <n v="12.1"/>
    <x v="2"/>
    <x v="1"/>
    <x v="1"/>
  </r>
  <r>
    <n v="18.100000000000001"/>
    <n v="0"/>
    <n v="0.69299999999999995"/>
    <n v="5.3490000000000002"/>
    <n v="96"/>
    <n v="1.7028000000000001"/>
    <n v="24"/>
    <n v="666"/>
    <n v="20.2"/>
    <n v="396.9"/>
    <n v="19.77"/>
    <n v="8.3000000000000007"/>
    <x v="2"/>
    <x v="2"/>
    <x v="2"/>
  </r>
  <r>
    <n v="18.100000000000001"/>
    <n v="0"/>
    <n v="0.69299999999999995"/>
    <n v="5.5309999999999997"/>
    <n v="85.4"/>
    <n v="1.6073999999999999"/>
    <n v="24"/>
    <n v="666"/>
    <n v="20.2"/>
    <n v="329.46"/>
    <n v="27.38"/>
    <n v="8.5"/>
    <x v="2"/>
    <x v="2"/>
    <x v="1"/>
  </r>
  <r>
    <n v="18.100000000000001"/>
    <n v="0"/>
    <n v="0.69299999999999995"/>
    <n v="5.6829999999999998"/>
    <n v="100"/>
    <n v="1.4254"/>
    <n v="24"/>
    <n v="666"/>
    <n v="20.2"/>
    <n v="384.97"/>
    <n v="22.98"/>
    <n v="5"/>
    <x v="2"/>
    <x v="2"/>
    <x v="1"/>
  </r>
  <r>
    <n v="18.100000000000001"/>
    <n v="0"/>
    <n v="0.65900000000000003"/>
    <n v="4.1379999999999999"/>
    <n v="100"/>
    <n v="1.1780999999999999"/>
    <n v="24"/>
    <n v="666"/>
    <n v="20.2"/>
    <n v="370.22"/>
    <n v="23.34"/>
    <n v="11.9"/>
    <x v="2"/>
    <x v="2"/>
    <x v="2"/>
  </r>
  <r>
    <n v="18.100000000000001"/>
    <n v="0"/>
    <n v="0.65900000000000003"/>
    <n v="5.6079999999999997"/>
    <n v="100"/>
    <n v="1.2851999999999999"/>
    <n v="24"/>
    <n v="666"/>
    <n v="20.2"/>
    <n v="332.09"/>
    <n v="12.13"/>
    <n v="27.9"/>
    <x v="1"/>
    <x v="2"/>
    <x v="1"/>
  </r>
  <r>
    <n v="18.100000000000001"/>
    <n v="0"/>
    <n v="0.59699999999999998"/>
    <n v="5.617"/>
    <n v="97.9"/>
    <n v="1.4547000000000001"/>
    <n v="24"/>
    <n v="666"/>
    <n v="20.2"/>
    <n v="314.64"/>
    <n v="26.4"/>
    <n v="17.2"/>
    <x v="0"/>
    <x v="1"/>
    <x v="1"/>
  </r>
  <r>
    <n v="18.100000000000001"/>
    <n v="0"/>
    <n v="0.59699999999999998"/>
    <n v="6.8520000000000003"/>
    <n v="100"/>
    <n v="1.4655"/>
    <n v="24"/>
    <n v="666"/>
    <n v="20.2"/>
    <n v="179.36"/>
    <n v="19.78"/>
    <n v="27.5"/>
    <x v="1"/>
    <x v="2"/>
    <x v="0"/>
  </r>
  <r>
    <n v="18.100000000000001"/>
    <n v="0"/>
    <n v="0.59699999999999998"/>
    <n v="5.7569999999999997"/>
    <n v="100"/>
    <n v="1.413"/>
    <n v="24"/>
    <n v="666"/>
    <n v="20.2"/>
    <n v="2.6"/>
    <n v="10.11"/>
    <n v="15"/>
    <x v="2"/>
    <x v="2"/>
    <x v="1"/>
  </r>
  <r>
    <n v="18.100000000000001"/>
    <n v="0"/>
    <n v="0.59699999999999998"/>
    <n v="6.657"/>
    <n v="100"/>
    <n v="1.5275000000000001"/>
    <n v="24"/>
    <n v="666"/>
    <n v="20.2"/>
    <n v="35.049999999999997"/>
    <n v="21.22"/>
    <n v="17.2"/>
    <x v="0"/>
    <x v="2"/>
    <x v="0"/>
  </r>
  <r>
    <n v="18.100000000000001"/>
    <n v="0"/>
    <n v="0.59699999999999998"/>
    <n v="4.6280000000000001"/>
    <n v="100"/>
    <n v="1.5539000000000001"/>
    <n v="24"/>
    <n v="666"/>
    <n v="20.2"/>
    <n v="28.79"/>
    <n v="34.369999999999997"/>
    <n v="17.899999999999999"/>
    <x v="0"/>
    <x v="2"/>
    <x v="2"/>
  </r>
  <r>
    <n v="18.100000000000001"/>
    <n v="0"/>
    <n v="0.59699999999999998"/>
    <n v="5.1550000000000002"/>
    <n v="100"/>
    <n v="1.5893999999999999"/>
    <n v="24"/>
    <n v="666"/>
    <n v="20.2"/>
    <n v="210.97"/>
    <n v="20.079999999999998"/>
    <n v="16.3"/>
    <x v="0"/>
    <x v="2"/>
    <x v="2"/>
  </r>
  <r>
    <n v="18.100000000000001"/>
    <n v="0"/>
    <n v="0.69299999999999995"/>
    <n v="4.5190000000000001"/>
    <n v="100"/>
    <n v="1.6581999999999999"/>
    <n v="24"/>
    <n v="666"/>
    <n v="20.2"/>
    <n v="88.27"/>
    <n v="36.979999999999997"/>
    <n v="7"/>
    <x v="2"/>
    <x v="2"/>
    <x v="2"/>
  </r>
  <r>
    <n v="18.100000000000001"/>
    <n v="0"/>
    <n v="0.67900000000000005"/>
    <n v="6.4340000000000002"/>
    <n v="100"/>
    <n v="1.8347"/>
    <n v="24"/>
    <n v="666"/>
    <n v="20.2"/>
    <n v="27.25"/>
    <n v="29.05"/>
    <n v="7.2"/>
    <x v="2"/>
    <x v="2"/>
    <x v="1"/>
  </r>
  <r>
    <n v="18.100000000000001"/>
    <n v="0"/>
    <n v="0.67900000000000005"/>
    <n v="6.782"/>
    <n v="90.8"/>
    <n v="1.8194999999999999"/>
    <n v="24"/>
    <n v="666"/>
    <n v="20.2"/>
    <n v="21.57"/>
    <n v="25.79"/>
    <n v="7.5"/>
    <x v="2"/>
    <x v="2"/>
    <x v="0"/>
  </r>
  <r>
    <n v="18.100000000000001"/>
    <n v="0"/>
    <n v="0.67900000000000005"/>
    <n v="5.3040000000000003"/>
    <n v="89.1"/>
    <n v="1.6475"/>
    <n v="24"/>
    <n v="666"/>
    <n v="20.2"/>
    <n v="127.36"/>
    <n v="26.64"/>
    <n v="10.4"/>
    <x v="2"/>
    <x v="2"/>
    <x v="2"/>
  </r>
  <r>
    <n v="18.100000000000001"/>
    <n v="0"/>
    <n v="0.67900000000000005"/>
    <n v="5.9569999999999999"/>
    <n v="100"/>
    <n v="1.8026"/>
    <n v="24"/>
    <n v="666"/>
    <n v="20.2"/>
    <n v="16.45"/>
    <n v="20.62"/>
    <n v="8.8000000000000007"/>
    <x v="2"/>
    <x v="2"/>
    <x v="1"/>
  </r>
  <r>
    <n v="18.100000000000001"/>
    <n v="0"/>
    <n v="0.71799999999999997"/>
    <n v="6.8239999999999998"/>
    <n v="76.5"/>
    <n v="1.794"/>
    <n v="24"/>
    <n v="666"/>
    <n v="20.2"/>
    <n v="48.45"/>
    <n v="22.74"/>
    <n v="8.4"/>
    <x v="2"/>
    <x v="2"/>
    <x v="0"/>
  </r>
  <r>
    <n v="18.100000000000001"/>
    <n v="0"/>
    <n v="0.71799999999999997"/>
    <n v="6.4109999999999996"/>
    <n v="100"/>
    <n v="1.8589"/>
    <n v="24"/>
    <n v="666"/>
    <n v="20.2"/>
    <n v="318.75"/>
    <n v="15.02"/>
    <n v="16.7"/>
    <x v="0"/>
    <x v="2"/>
    <x v="1"/>
  </r>
  <r>
    <n v="18.100000000000001"/>
    <n v="0"/>
    <n v="0.71799999999999997"/>
    <n v="6.0060000000000002"/>
    <n v="95.3"/>
    <n v="1.8746"/>
    <n v="24"/>
    <n v="666"/>
    <n v="20.2"/>
    <n v="319.98"/>
    <n v="15.7"/>
    <n v="14.2"/>
    <x v="2"/>
    <x v="1"/>
    <x v="1"/>
  </r>
  <r>
    <n v="18.100000000000001"/>
    <n v="0"/>
    <n v="0.61399999999999999"/>
    <n v="5.6479999999999997"/>
    <n v="87.6"/>
    <n v="1.9512"/>
    <n v="24"/>
    <n v="666"/>
    <n v="20.2"/>
    <n v="291.55"/>
    <n v="14.1"/>
    <n v="20.8"/>
    <x v="0"/>
    <x v="2"/>
    <x v="1"/>
  </r>
  <r>
    <n v="18.100000000000001"/>
    <n v="0"/>
    <n v="0.61399999999999999"/>
    <n v="6.1029999999999998"/>
    <n v="85.1"/>
    <n v="2.0217999999999998"/>
    <n v="24"/>
    <n v="666"/>
    <n v="20.2"/>
    <n v="2.52"/>
    <n v="23.29"/>
    <n v="13.4"/>
    <x v="2"/>
    <x v="1"/>
    <x v="1"/>
  </r>
  <r>
    <n v="18.100000000000001"/>
    <n v="0"/>
    <n v="0.58399999999999996"/>
    <n v="5.5650000000000004"/>
    <n v="70.599999999999994"/>
    <n v="2.0634999999999999"/>
    <n v="24"/>
    <n v="666"/>
    <n v="20.2"/>
    <n v="3.65"/>
    <n v="17.16"/>
    <n v="11.7"/>
    <x v="2"/>
    <x v="1"/>
    <x v="1"/>
  </r>
  <r>
    <n v="18.100000000000001"/>
    <n v="0"/>
    <n v="0.67900000000000005"/>
    <n v="5.8959999999999999"/>
    <n v="95.4"/>
    <n v="1.9096"/>
    <n v="24"/>
    <n v="666"/>
    <n v="20.2"/>
    <n v="7.68"/>
    <n v="24.39"/>
    <n v="8.3000000000000007"/>
    <x v="2"/>
    <x v="2"/>
    <x v="1"/>
  </r>
  <r>
    <n v="18.100000000000001"/>
    <n v="0"/>
    <n v="0.58399999999999996"/>
    <n v="5.8369999999999997"/>
    <n v="59.7"/>
    <n v="1.9976"/>
    <n v="24"/>
    <n v="666"/>
    <n v="20.2"/>
    <n v="24.65"/>
    <n v="15.69"/>
    <n v="10.199999999999999"/>
    <x v="2"/>
    <x v="2"/>
    <x v="1"/>
  </r>
  <r>
    <n v="18.100000000000001"/>
    <n v="0"/>
    <n v="0.67900000000000005"/>
    <n v="6.202"/>
    <n v="78.7"/>
    <n v="1.8629"/>
    <n v="24"/>
    <n v="666"/>
    <n v="20.2"/>
    <n v="18.82"/>
    <n v="14.52"/>
    <n v="10.9"/>
    <x v="2"/>
    <x v="2"/>
    <x v="1"/>
  </r>
  <r>
    <n v="18.100000000000001"/>
    <n v="0"/>
    <n v="0.67900000000000005"/>
    <n v="6.1929999999999996"/>
    <n v="78.099999999999994"/>
    <n v="1.9356"/>
    <n v="24"/>
    <n v="666"/>
    <n v="20.2"/>
    <n v="96.73"/>
    <n v="21.52"/>
    <n v="11"/>
    <x v="2"/>
    <x v="1"/>
    <x v="1"/>
  </r>
  <r>
    <n v="18.100000000000001"/>
    <n v="0"/>
    <n v="0.67900000000000005"/>
    <n v="6.38"/>
    <n v="95.6"/>
    <n v="1.9681999999999999"/>
    <n v="24"/>
    <n v="666"/>
    <n v="20.2"/>
    <n v="60.72"/>
    <n v="24.08"/>
    <n v="9.5"/>
    <x v="2"/>
    <x v="1"/>
    <x v="1"/>
  </r>
  <r>
    <n v="18.100000000000001"/>
    <n v="0"/>
    <n v="0.58399999999999996"/>
    <n v="6.3479999999999999"/>
    <n v="86.1"/>
    <n v="2.0527000000000002"/>
    <n v="24"/>
    <n v="666"/>
    <n v="20.2"/>
    <n v="83.45"/>
    <n v="17.64"/>
    <n v="14.5"/>
    <x v="2"/>
    <x v="1"/>
    <x v="1"/>
  </r>
  <r>
    <n v="18.100000000000001"/>
    <n v="0"/>
    <n v="0.58399999999999996"/>
    <n v="6.8330000000000002"/>
    <n v="94.3"/>
    <n v="2.0882000000000001"/>
    <n v="24"/>
    <n v="666"/>
    <n v="20.2"/>
    <n v="81.33"/>
    <n v="19.690000000000001"/>
    <n v="14.1"/>
    <x v="2"/>
    <x v="2"/>
    <x v="0"/>
  </r>
  <r>
    <n v="18.100000000000001"/>
    <n v="0"/>
    <n v="0.58399999999999996"/>
    <n v="6.4249999999999998"/>
    <n v="74.8"/>
    <n v="2.2004000000000001"/>
    <n v="24"/>
    <n v="666"/>
    <n v="20.2"/>
    <n v="97.95"/>
    <n v="12.03"/>
    <n v="16.100000000000001"/>
    <x v="0"/>
    <x v="1"/>
    <x v="1"/>
  </r>
  <r>
    <n v="18.100000000000001"/>
    <n v="0"/>
    <n v="0.71299999999999997"/>
    <n v="6.4359999999999999"/>
    <n v="87.9"/>
    <n v="2.3157999999999999"/>
    <n v="24"/>
    <n v="666"/>
    <n v="20.2"/>
    <n v="100.19"/>
    <n v="16.22"/>
    <n v="14.3"/>
    <x v="2"/>
    <x v="1"/>
    <x v="1"/>
  </r>
  <r>
    <n v="18.100000000000001"/>
    <n v="0"/>
    <n v="0.71299999999999997"/>
    <n v="6.2080000000000002"/>
    <n v="95"/>
    <n v="2.2222"/>
    <n v="24"/>
    <n v="666"/>
    <n v="20.2"/>
    <n v="100.63"/>
    <n v="15.17"/>
    <n v="11.7"/>
    <x v="2"/>
    <x v="2"/>
    <x v="1"/>
  </r>
  <r>
    <n v="18.100000000000001"/>
    <n v="0"/>
    <n v="0.74"/>
    <n v="6.6289999999999996"/>
    <n v="94.6"/>
    <n v="2.1246999999999998"/>
    <n v="24"/>
    <n v="666"/>
    <n v="20.2"/>
    <n v="109.85"/>
    <n v="23.27"/>
    <n v="13.4"/>
    <x v="2"/>
    <x v="2"/>
    <x v="0"/>
  </r>
  <r>
    <n v="18.100000000000001"/>
    <n v="0"/>
    <n v="0.74"/>
    <n v="6.4610000000000003"/>
    <n v="93.3"/>
    <n v="2.0026000000000002"/>
    <n v="24"/>
    <n v="666"/>
    <n v="20.2"/>
    <n v="27.49"/>
    <n v="18.05"/>
    <n v="9.6"/>
    <x v="2"/>
    <x v="2"/>
    <x v="1"/>
  </r>
  <r>
    <n v="18.100000000000001"/>
    <n v="0"/>
    <n v="0.74"/>
    <n v="6.1520000000000001"/>
    <n v="100"/>
    <n v="1.9141999999999999"/>
    <n v="24"/>
    <n v="666"/>
    <n v="20.2"/>
    <n v="9.32"/>
    <n v="26.45"/>
    <n v="8.6999999999999993"/>
    <x v="2"/>
    <x v="2"/>
    <x v="1"/>
  </r>
  <r>
    <n v="18.100000000000001"/>
    <n v="0"/>
    <n v="0.74"/>
    <n v="5.9349999999999996"/>
    <n v="87.9"/>
    <n v="1.8206"/>
    <n v="24"/>
    <n v="666"/>
    <n v="20.2"/>
    <n v="68.95"/>
    <n v="34.020000000000003"/>
    <n v="8.4"/>
    <x v="2"/>
    <x v="2"/>
    <x v="1"/>
  </r>
  <r>
    <n v="18.100000000000001"/>
    <n v="0"/>
    <n v="0.74"/>
    <n v="5.6269999999999998"/>
    <n v="93.9"/>
    <n v="1.8171999999999999"/>
    <n v="24"/>
    <n v="666"/>
    <n v="20.2"/>
    <n v="396.9"/>
    <n v="22.88"/>
    <n v="12.8"/>
    <x v="2"/>
    <x v="1"/>
    <x v="1"/>
  </r>
  <r>
    <n v="18.100000000000001"/>
    <n v="0"/>
    <n v="0.74"/>
    <n v="5.8179999999999996"/>
    <n v="92.4"/>
    <n v="1.8662000000000001"/>
    <n v="24"/>
    <n v="666"/>
    <n v="20.2"/>
    <n v="391.45"/>
    <n v="22.11"/>
    <n v="10.5"/>
    <x v="2"/>
    <x v="2"/>
    <x v="1"/>
  </r>
  <r>
    <n v="18.100000000000001"/>
    <n v="0"/>
    <n v="0.74"/>
    <n v="6.4059999999999997"/>
    <n v="97.2"/>
    <n v="2.0651000000000002"/>
    <n v="24"/>
    <n v="666"/>
    <n v="20.2"/>
    <n v="385.96"/>
    <n v="19.52"/>
    <n v="17.100000000000001"/>
    <x v="0"/>
    <x v="1"/>
    <x v="1"/>
  </r>
  <r>
    <n v="18.100000000000001"/>
    <n v="0"/>
    <n v="0.74"/>
    <n v="6.2190000000000003"/>
    <n v="100"/>
    <n v="2.0047999999999999"/>
    <n v="24"/>
    <n v="666"/>
    <n v="20.2"/>
    <n v="395.69"/>
    <n v="16.59"/>
    <n v="18.399999999999999"/>
    <x v="0"/>
    <x v="1"/>
    <x v="1"/>
  </r>
  <r>
    <n v="18.100000000000001"/>
    <n v="0"/>
    <n v="0.74"/>
    <n v="6.4850000000000003"/>
    <n v="100"/>
    <n v="1.9783999999999999"/>
    <n v="24"/>
    <n v="666"/>
    <n v="20.2"/>
    <n v="386.73"/>
    <n v="18.850000000000001"/>
    <n v="15.4"/>
    <x v="0"/>
    <x v="1"/>
    <x v="1"/>
  </r>
  <r>
    <n v="18.100000000000001"/>
    <n v="0"/>
    <n v="0.74"/>
    <n v="5.8540000000000001"/>
    <n v="96.6"/>
    <n v="1.8956"/>
    <n v="24"/>
    <n v="666"/>
    <n v="20.2"/>
    <n v="240.52"/>
    <n v="23.79"/>
    <n v="10.8"/>
    <x v="2"/>
    <x v="2"/>
    <x v="1"/>
  </r>
  <r>
    <n v="18.100000000000001"/>
    <n v="0"/>
    <n v="0.74"/>
    <n v="6.4589999999999996"/>
    <n v="94.8"/>
    <n v="1.9879"/>
    <n v="24"/>
    <n v="666"/>
    <n v="20.2"/>
    <n v="43.06"/>
    <n v="23.98"/>
    <n v="11.8"/>
    <x v="2"/>
    <x v="2"/>
    <x v="1"/>
  </r>
  <r>
    <n v="18.100000000000001"/>
    <n v="0"/>
    <n v="0.74"/>
    <n v="6.3410000000000002"/>
    <n v="96.4"/>
    <n v="2.0720000000000001"/>
    <n v="24"/>
    <n v="666"/>
    <n v="20.2"/>
    <n v="318.01"/>
    <n v="17.79"/>
    <n v="14.9"/>
    <x v="2"/>
    <x v="1"/>
    <x v="1"/>
  </r>
  <r>
    <n v="18.100000000000001"/>
    <n v="0"/>
    <n v="0.74"/>
    <n v="6.2510000000000003"/>
    <n v="96.6"/>
    <n v="2.198"/>
    <n v="24"/>
    <n v="666"/>
    <n v="20.2"/>
    <n v="388.52"/>
    <n v="16.440000000000001"/>
    <n v="12.6"/>
    <x v="2"/>
    <x v="1"/>
    <x v="1"/>
  </r>
  <r>
    <n v="18.100000000000001"/>
    <n v="0"/>
    <n v="0.71299999999999997"/>
    <n v="6.1849999999999996"/>
    <n v="98.7"/>
    <n v="2.2616000000000001"/>
    <n v="24"/>
    <n v="666"/>
    <n v="20.2"/>
    <n v="396.9"/>
    <n v="18.13"/>
    <n v="14.1"/>
    <x v="2"/>
    <x v="1"/>
    <x v="1"/>
  </r>
  <r>
    <n v="18.100000000000001"/>
    <n v="0"/>
    <n v="0.71299999999999997"/>
    <n v="6.4169999999999998"/>
    <n v="98.3"/>
    <n v="2.1850000000000001"/>
    <n v="24"/>
    <n v="666"/>
    <n v="20.2"/>
    <n v="304.20999999999998"/>
    <n v="19.309999999999999"/>
    <n v="13"/>
    <x v="2"/>
    <x v="1"/>
    <x v="1"/>
  </r>
  <r>
    <n v="18.100000000000001"/>
    <n v="0"/>
    <n v="0.71299999999999997"/>
    <n v="6.7489999999999997"/>
    <n v="92.6"/>
    <n v="2.3235999999999999"/>
    <n v="24"/>
    <n v="666"/>
    <n v="20.2"/>
    <n v="0.32"/>
    <n v="17.440000000000001"/>
    <n v="13.4"/>
    <x v="2"/>
    <x v="1"/>
    <x v="0"/>
  </r>
  <r>
    <n v="18.100000000000001"/>
    <n v="0"/>
    <n v="0.71299999999999997"/>
    <n v="6.6550000000000002"/>
    <n v="98.2"/>
    <n v="2.3552"/>
    <n v="24"/>
    <n v="666"/>
    <n v="20.2"/>
    <n v="355.29"/>
    <n v="17.73"/>
    <n v="15.2"/>
    <x v="0"/>
    <x v="1"/>
    <x v="0"/>
  </r>
  <r>
    <n v="18.100000000000001"/>
    <n v="0"/>
    <n v="0.71299999999999997"/>
    <n v="6.2969999999999997"/>
    <n v="91.8"/>
    <n v="2.3681999999999999"/>
    <n v="24"/>
    <n v="666"/>
    <n v="20.2"/>
    <n v="385.09"/>
    <n v="17.27"/>
    <n v="16.100000000000001"/>
    <x v="0"/>
    <x v="1"/>
    <x v="1"/>
  </r>
  <r>
    <n v="18.100000000000001"/>
    <n v="0"/>
    <n v="0.71299999999999997"/>
    <n v="7.3929999999999998"/>
    <n v="99.3"/>
    <n v="2.4527000000000001"/>
    <n v="24"/>
    <n v="666"/>
    <n v="20.2"/>
    <n v="375.87"/>
    <n v="16.739999999999998"/>
    <n v="17.8"/>
    <x v="0"/>
    <x v="1"/>
    <x v="0"/>
  </r>
  <r>
    <n v="18.100000000000001"/>
    <n v="0"/>
    <n v="0.71299999999999997"/>
    <n v="6.7279999999999998"/>
    <n v="94.1"/>
    <n v="2.4961000000000002"/>
    <n v="24"/>
    <n v="666"/>
    <n v="20.2"/>
    <n v="6.68"/>
    <n v="18.71"/>
    <n v="14.9"/>
    <x v="2"/>
    <x v="1"/>
    <x v="0"/>
  </r>
  <r>
    <n v="18.100000000000001"/>
    <n v="0"/>
    <n v="0.71299999999999997"/>
    <n v="6.5250000000000004"/>
    <n v="86.5"/>
    <n v="2.4358"/>
    <n v="24"/>
    <n v="666"/>
    <n v="20.2"/>
    <n v="50.92"/>
    <n v="18.13"/>
    <n v="14.1"/>
    <x v="2"/>
    <x v="1"/>
    <x v="0"/>
  </r>
  <r>
    <n v="18.100000000000001"/>
    <n v="0"/>
    <n v="0.71299999999999997"/>
    <n v="5.976"/>
    <n v="87.9"/>
    <n v="2.5806"/>
    <n v="24"/>
    <n v="666"/>
    <n v="20.2"/>
    <n v="10.48"/>
    <n v="19.010000000000002"/>
    <n v="12.7"/>
    <x v="2"/>
    <x v="1"/>
    <x v="1"/>
  </r>
  <r>
    <n v="18.100000000000001"/>
    <n v="0"/>
    <n v="0.71299999999999997"/>
    <n v="5.9359999999999999"/>
    <n v="80.3"/>
    <n v="2.7791999999999999"/>
    <n v="24"/>
    <n v="666"/>
    <n v="20.2"/>
    <n v="3.5"/>
    <n v="16.940000000000001"/>
    <n v="13.5"/>
    <x v="2"/>
    <x v="1"/>
    <x v="1"/>
  </r>
  <r>
    <n v="18.100000000000001"/>
    <n v="0"/>
    <n v="0.71299999999999997"/>
    <n v="6.3010000000000002"/>
    <n v="83.7"/>
    <n v="2.7831000000000001"/>
    <n v="24"/>
    <n v="666"/>
    <n v="20.2"/>
    <n v="272.20999999999998"/>
    <n v="16.23"/>
    <n v="14.9"/>
    <x v="2"/>
    <x v="1"/>
    <x v="1"/>
  </r>
  <r>
    <n v="18.100000000000001"/>
    <n v="0"/>
    <n v="0.71299999999999997"/>
    <n v="6.0810000000000004"/>
    <n v="84.4"/>
    <n v="2.7174999999999998"/>
    <n v="24"/>
    <n v="666"/>
    <n v="20.2"/>
    <n v="396.9"/>
    <n v="14.7"/>
    <n v="20"/>
    <x v="0"/>
    <x v="1"/>
    <x v="1"/>
  </r>
  <r>
    <n v="18.100000000000001"/>
    <n v="0"/>
    <n v="0.71299999999999997"/>
    <n v="6.7009999999999996"/>
    <n v="90"/>
    <n v="2.5975000000000001"/>
    <n v="24"/>
    <n v="666"/>
    <n v="20.2"/>
    <n v="255.23"/>
    <n v="16.420000000000002"/>
    <n v="16.399999999999999"/>
    <x v="0"/>
    <x v="1"/>
    <x v="0"/>
  </r>
  <r>
    <n v="18.100000000000001"/>
    <n v="0"/>
    <n v="0.71299999999999997"/>
    <n v="6.3760000000000003"/>
    <n v="88.4"/>
    <n v="2.5670999999999999"/>
    <n v="24"/>
    <n v="666"/>
    <n v="20.2"/>
    <n v="391.43"/>
    <n v="14.65"/>
    <n v="17.7"/>
    <x v="0"/>
    <x v="1"/>
    <x v="1"/>
  </r>
  <r>
    <n v="18.100000000000001"/>
    <n v="0"/>
    <n v="0.71299999999999997"/>
    <n v="6.3170000000000002"/>
    <n v="83"/>
    <n v="2.7343999999999999"/>
    <n v="24"/>
    <n v="666"/>
    <n v="20.2"/>
    <n v="396.9"/>
    <n v="13.99"/>
    <n v="19.5"/>
    <x v="0"/>
    <x v="1"/>
    <x v="1"/>
  </r>
  <r>
    <n v="18.100000000000001"/>
    <n v="0"/>
    <n v="0.71299999999999997"/>
    <n v="6.5129999999999999"/>
    <n v="89.9"/>
    <n v="2.8016000000000001"/>
    <n v="24"/>
    <n v="666"/>
    <n v="20.2"/>
    <n v="393.82"/>
    <n v="10.29"/>
    <n v="20.2"/>
    <x v="0"/>
    <x v="1"/>
    <x v="0"/>
  </r>
  <r>
    <n v="18.100000000000001"/>
    <n v="0"/>
    <n v="0.65500000000000003"/>
    <n v="6.2089999999999996"/>
    <n v="65.400000000000006"/>
    <n v="2.9634"/>
    <n v="24"/>
    <n v="666"/>
    <n v="20.2"/>
    <n v="396.9"/>
    <n v="13.22"/>
    <n v="21.4"/>
    <x v="0"/>
    <x v="1"/>
    <x v="1"/>
  </r>
  <r>
    <n v="18.100000000000001"/>
    <n v="0"/>
    <n v="0.65500000000000003"/>
    <n v="5.7590000000000003"/>
    <n v="48.2"/>
    <n v="3.0665"/>
    <n v="24"/>
    <n v="666"/>
    <n v="20.2"/>
    <n v="334.4"/>
    <n v="14.13"/>
    <n v="19.899999999999999"/>
    <x v="0"/>
    <x v="1"/>
    <x v="1"/>
  </r>
  <r>
    <n v="18.100000000000001"/>
    <n v="0"/>
    <n v="0.65500000000000003"/>
    <n v="5.952"/>
    <n v="84.7"/>
    <n v="2.8715000000000002"/>
    <n v="24"/>
    <n v="666"/>
    <n v="20.2"/>
    <n v="22.01"/>
    <n v="17.149999999999999"/>
    <n v="19"/>
    <x v="0"/>
    <x v="1"/>
    <x v="1"/>
  </r>
  <r>
    <n v="18.100000000000001"/>
    <n v="0"/>
    <n v="0.58399999999999996"/>
    <n v="6.0030000000000001"/>
    <n v="94.5"/>
    <n v="2.5402999999999998"/>
    <n v="24"/>
    <n v="666"/>
    <n v="20.2"/>
    <n v="331.29"/>
    <n v="21.32"/>
    <n v="19.100000000000001"/>
    <x v="0"/>
    <x v="1"/>
    <x v="1"/>
  </r>
  <r>
    <n v="18.100000000000001"/>
    <n v="0"/>
    <n v="0.57999999999999996"/>
    <n v="5.9260000000000002"/>
    <n v="71"/>
    <n v="2.9083999999999999"/>
    <n v="24"/>
    <n v="666"/>
    <n v="20.2"/>
    <n v="368.74"/>
    <n v="18.13"/>
    <n v="19.100000000000001"/>
    <x v="0"/>
    <x v="2"/>
    <x v="1"/>
  </r>
  <r>
    <n v="18.100000000000001"/>
    <n v="0"/>
    <n v="0.57999999999999996"/>
    <n v="5.7130000000000001"/>
    <n v="56.7"/>
    <n v="2.8237000000000001"/>
    <n v="24"/>
    <n v="666"/>
    <n v="20.2"/>
    <n v="396.9"/>
    <n v="14.76"/>
    <n v="20.100000000000001"/>
    <x v="0"/>
    <x v="2"/>
    <x v="1"/>
  </r>
  <r>
    <n v="18.100000000000001"/>
    <n v="0"/>
    <n v="0.57999999999999996"/>
    <n v="6.1669999999999998"/>
    <n v="84"/>
    <n v="3.0333999999999999"/>
    <n v="24"/>
    <n v="666"/>
    <n v="20.2"/>
    <n v="396.9"/>
    <n v="16.29"/>
    <n v="19.899999999999999"/>
    <x v="0"/>
    <x v="1"/>
    <x v="1"/>
  </r>
  <r>
    <n v="18.100000000000001"/>
    <n v="0"/>
    <n v="0.53200000000000003"/>
    <n v="6.2290000000000001"/>
    <n v="90.7"/>
    <n v="3.0992999999999999"/>
    <n v="24"/>
    <n v="666"/>
    <n v="20.2"/>
    <n v="395.33"/>
    <n v="12.87"/>
    <n v="19.600000000000001"/>
    <x v="0"/>
    <x v="1"/>
    <x v="1"/>
  </r>
  <r>
    <n v="18.100000000000001"/>
    <n v="0"/>
    <n v="0.57999999999999996"/>
    <n v="6.4370000000000003"/>
    <n v="75"/>
    <n v="2.8965000000000001"/>
    <n v="24"/>
    <n v="666"/>
    <n v="20.2"/>
    <n v="393.37"/>
    <n v="14.36"/>
    <n v="23.2"/>
    <x v="0"/>
    <x v="1"/>
    <x v="1"/>
  </r>
  <r>
    <n v="18.100000000000001"/>
    <n v="0"/>
    <n v="0.61399999999999999"/>
    <n v="6.98"/>
    <n v="67.599999999999994"/>
    <n v="2.5329000000000002"/>
    <n v="24"/>
    <n v="666"/>
    <n v="20.2"/>
    <n v="374.68"/>
    <n v="11.66"/>
    <n v="29.8"/>
    <x v="1"/>
    <x v="1"/>
    <x v="0"/>
  </r>
  <r>
    <n v="18.100000000000001"/>
    <n v="0"/>
    <n v="0.58399999999999996"/>
    <n v="5.4269999999999996"/>
    <n v="95.4"/>
    <n v="2.4298000000000002"/>
    <n v="24"/>
    <n v="666"/>
    <n v="20.2"/>
    <n v="352.58"/>
    <n v="18.14"/>
    <n v="13.8"/>
    <x v="2"/>
    <x v="1"/>
    <x v="2"/>
  </r>
  <r>
    <n v="18.100000000000001"/>
    <n v="0"/>
    <n v="0.58399999999999996"/>
    <n v="6.1619999999999999"/>
    <n v="97.4"/>
    <n v="2.206"/>
    <n v="24"/>
    <n v="666"/>
    <n v="20.2"/>
    <n v="302.76"/>
    <n v="24.1"/>
    <n v="13.3"/>
    <x v="2"/>
    <x v="1"/>
    <x v="1"/>
  </r>
  <r>
    <n v="18.100000000000001"/>
    <n v="0"/>
    <n v="0.61399999999999999"/>
    <n v="6.484"/>
    <n v="93.6"/>
    <n v="2.3052999999999999"/>
    <n v="24"/>
    <n v="666"/>
    <n v="20.2"/>
    <n v="396.21"/>
    <n v="18.68"/>
    <n v="16.7"/>
    <x v="0"/>
    <x v="1"/>
    <x v="1"/>
  </r>
  <r>
    <n v="18.100000000000001"/>
    <n v="0"/>
    <n v="0.61399999999999999"/>
    <n v="5.3040000000000003"/>
    <n v="97.3"/>
    <n v="2.1006999999999998"/>
    <n v="24"/>
    <n v="666"/>
    <n v="20.2"/>
    <n v="349.48"/>
    <n v="24.91"/>
    <n v="12"/>
    <x v="2"/>
    <x v="2"/>
    <x v="2"/>
  </r>
  <r>
    <n v="18.100000000000001"/>
    <n v="0"/>
    <n v="0.61399999999999999"/>
    <n v="6.1849999999999996"/>
    <n v="96.7"/>
    <n v="2.1705000000000001"/>
    <n v="24"/>
    <n v="666"/>
    <n v="20.2"/>
    <n v="379.7"/>
    <n v="18.03"/>
    <n v="14.6"/>
    <x v="2"/>
    <x v="2"/>
    <x v="1"/>
  </r>
  <r>
    <n v="18.100000000000001"/>
    <n v="0"/>
    <n v="0.61399999999999999"/>
    <n v="6.2290000000000001"/>
    <n v="88"/>
    <n v="1.9512"/>
    <n v="24"/>
    <n v="666"/>
    <n v="20.2"/>
    <n v="383.32"/>
    <n v="13.11"/>
    <n v="21.4"/>
    <x v="0"/>
    <x v="2"/>
    <x v="1"/>
  </r>
  <r>
    <n v="18.100000000000001"/>
    <n v="0"/>
    <n v="0.53200000000000003"/>
    <n v="6.242"/>
    <n v="64.7"/>
    <n v="3.4241999999999999"/>
    <n v="24"/>
    <n v="666"/>
    <n v="20.2"/>
    <n v="396.9"/>
    <n v="10.74"/>
    <n v="23"/>
    <x v="0"/>
    <x v="1"/>
    <x v="1"/>
  </r>
  <r>
    <n v="18.100000000000001"/>
    <n v="0"/>
    <n v="0.53200000000000003"/>
    <n v="6.75"/>
    <n v="74.900000000000006"/>
    <n v="3.3317000000000001"/>
    <n v="24"/>
    <n v="666"/>
    <n v="20.2"/>
    <n v="393.07"/>
    <n v="7.74"/>
    <n v="23.7"/>
    <x v="0"/>
    <x v="1"/>
    <x v="0"/>
  </r>
  <r>
    <n v="18.100000000000001"/>
    <n v="0"/>
    <n v="0.53200000000000003"/>
    <n v="7.0609999999999999"/>
    <n v="77"/>
    <n v="3.4106000000000001"/>
    <n v="24"/>
    <n v="666"/>
    <n v="20.2"/>
    <n v="395.28"/>
    <n v="7.01"/>
    <n v="25"/>
    <x v="0"/>
    <x v="1"/>
    <x v="0"/>
  </r>
  <r>
    <n v="18.100000000000001"/>
    <n v="0"/>
    <n v="0.53200000000000003"/>
    <n v="5.7619999999999996"/>
    <n v="40.299999999999997"/>
    <n v="4.0983000000000001"/>
    <n v="24"/>
    <n v="666"/>
    <n v="20.2"/>
    <n v="392.92"/>
    <n v="10.42"/>
    <n v="21.8"/>
    <x v="0"/>
    <x v="1"/>
    <x v="1"/>
  </r>
  <r>
    <n v="18.100000000000001"/>
    <n v="0"/>
    <n v="0.58299999999999996"/>
    <n v="5.8710000000000004"/>
    <n v="41.9"/>
    <n v="3.7240000000000002"/>
    <n v="24"/>
    <n v="666"/>
    <n v="20.2"/>
    <n v="370.73"/>
    <n v="13.34"/>
    <n v="20.6"/>
    <x v="0"/>
    <x v="1"/>
    <x v="1"/>
  </r>
  <r>
    <n v="18.100000000000001"/>
    <n v="0"/>
    <n v="0.58299999999999996"/>
    <n v="6.3120000000000003"/>
    <n v="51.9"/>
    <n v="3.9916999999999998"/>
    <n v="24"/>
    <n v="666"/>
    <n v="20.2"/>
    <n v="388.62"/>
    <n v="10.58"/>
    <n v="21.2"/>
    <x v="0"/>
    <x v="1"/>
    <x v="1"/>
  </r>
  <r>
    <n v="18.100000000000001"/>
    <n v="0"/>
    <n v="0.58299999999999996"/>
    <n v="6.1139999999999999"/>
    <n v="79.8"/>
    <n v="3.5459000000000001"/>
    <n v="24"/>
    <n v="666"/>
    <n v="20.2"/>
    <n v="392.68"/>
    <n v="14.98"/>
    <n v="19.100000000000001"/>
    <x v="0"/>
    <x v="1"/>
    <x v="1"/>
  </r>
  <r>
    <n v="18.100000000000001"/>
    <n v="0"/>
    <n v="0.58299999999999996"/>
    <n v="5.9050000000000002"/>
    <n v="53.2"/>
    <n v="3.1522999999999999"/>
    <n v="24"/>
    <n v="666"/>
    <n v="20.2"/>
    <n v="388.22"/>
    <n v="11.45"/>
    <n v="20.6"/>
    <x v="0"/>
    <x v="1"/>
    <x v="1"/>
  </r>
  <r>
    <n v="27.74"/>
    <n v="0"/>
    <n v="0.60899999999999999"/>
    <n v="5.4539999999999997"/>
    <n v="92.7"/>
    <n v="1.8209"/>
    <n v="4"/>
    <n v="711"/>
    <n v="20.100000000000001"/>
    <n v="395.09"/>
    <n v="18.059999999999999"/>
    <n v="15.2"/>
    <x v="0"/>
    <x v="0"/>
    <x v="2"/>
  </r>
  <r>
    <n v="27.74"/>
    <n v="0"/>
    <n v="0.60899999999999999"/>
    <n v="5.4139999999999997"/>
    <n v="98.3"/>
    <n v="1.7554000000000001"/>
    <n v="4"/>
    <n v="711"/>
    <n v="20.100000000000001"/>
    <n v="344.05"/>
    <n v="23.97"/>
    <n v="7"/>
    <x v="2"/>
    <x v="0"/>
    <x v="2"/>
  </r>
  <r>
    <n v="27.74"/>
    <n v="0"/>
    <n v="0.60899999999999999"/>
    <n v="5.093"/>
    <n v="98"/>
    <n v="1.8226"/>
    <n v="4"/>
    <n v="711"/>
    <n v="20.100000000000001"/>
    <n v="318.43"/>
    <n v="29.68"/>
    <n v="8.1"/>
    <x v="2"/>
    <x v="0"/>
    <x v="2"/>
  </r>
  <r>
    <n v="27.74"/>
    <n v="0"/>
    <n v="0.60899999999999999"/>
    <n v="5.9829999999999997"/>
    <n v="98.8"/>
    <n v="1.8681000000000001"/>
    <n v="4"/>
    <n v="711"/>
    <n v="20.100000000000001"/>
    <n v="390.11"/>
    <n v="18.07"/>
    <n v="13.6"/>
    <x v="2"/>
    <x v="0"/>
    <x v="1"/>
  </r>
  <r>
    <n v="27.74"/>
    <n v="0"/>
    <n v="0.60899999999999999"/>
    <n v="5.9829999999999997"/>
    <n v="83.5"/>
    <n v="2.1099000000000001"/>
    <n v="4"/>
    <n v="711"/>
    <n v="20.100000000000001"/>
    <n v="396.9"/>
    <n v="13.35"/>
    <n v="20.100000000000001"/>
    <x v="0"/>
    <x v="0"/>
    <x v="1"/>
  </r>
  <r>
    <n v="9.69"/>
    <n v="0"/>
    <n v="0.58499999999999996"/>
    <n v="5.7069999999999999"/>
    <n v="54"/>
    <n v="2.3816999999999999"/>
    <n v="6"/>
    <n v="391"/>
    <n v="19.2"/>
    <n v="396.9"/>
    <n v="12.01"/>
    <n v="21.8"/>
    <x v="0"/>
    <x v="0"/>
    <x v="1"/>
  </r>
  <r>
    <n v="9.69"/>
    <n v="0"/>
    <n v="0.58499999999999996"/>
    <n v="5.9260000000000002"/>
    <n v="42.6"/>
    <n v="2.3816999999999999"/>
    <n v="6"/>
    <n v="391"/>
    <n v="19.2"/>
    <n v="396.9"/>
    <n v="13.59"/>
    <n v="24.5"/>
    <x v="0"/>
    <x v="0"/>
    <x v="1"/>
  </r>
  <r>
    <n v="9.69"/>
    <n v="0"/>
    <n v="0.58499999999999996"/>
    <n v="5.67"/>
    <n v="28.8"/>
    <n v="2.7986"/>
    <n v="6"/>
    <n v="391"/>
    <n v="19.2"/>
    <n v="393.29"/>
    <n v="17.600000000000001"/>
    <n v="23.1"/>
    <x v="0"/>
    <x v="0"/>
    <x v="1"/>
  </r>
  <r>
    <n v="9.69"/>
    <n v="0"/>
    <n v="0.58499999999999996"/>
    <n v="5.39"/>
    <n v="72.900000000000006"/>
    <n v="2.7986"/>
    <n v="6"/>
    <n v="391"/>
    <n v="19.2"/>
    <n v="396.9"/>
    <n v="21.14"/>
    <n v="19.7"/>
    <x v="0"/>
    <x v="0"/>
    <x v="2"/>
  </r>
  <r>
    <n v="9.69"/>
    <n v="0"/>
    <n v="0.58499999999999996"/>
    <n v="5.7939999999999996"/>
    <n v="70.599999999999994"/>
    <n v="2.8927"/>
    <n v="6"/>
    <n v="391"/>
    <n v="19.2"/>
    <n v="396.9"/>
    <n v="14.1"/>
    <n v="18.3"/>
    <x v="0"/>
    <x v="0"/>
    <x v="1"/>
  </r>
  <r>
    <n v="9.69"/>
    <n v="0"/>
    <n v="0.58499999999999996"/>
    <n v="6.0190000000000001"/>
    <n v="65.3"/>
    <n v="2.4091"/>
    <n v="6"/>
    <n v="391"/>
    <n v="19.2"/>
    <n v="396.9"/>
    <n v="12.92"/>
    <n v="21.2"/>
    <x v="0"/>
    <x v="0"/>
    <x v="1"/>
  </r>
  <r>
    <n v="9.69"/>
    <n v="0"/>
    <n v="0.58499999999999996"/>
    <n v="5.569"/>
    <n v="73.5"/>
    <n v="2.3999000000000001"/>
    <n v="6"/>
    <n v="391"/>
    <n v="19.2"/>
    <n v="395.77"/>
    <n v="15.1"/>
    <n v="17.5"/>
    <x v="0"/>
    <x v="0"/>
    <x v="1"/>
  </r>
  <r>
    <n v="9.69"/>
    <n v="0"/>
    <n v="0.58499999999999996"/>
    <n v="6.0270000000000001"/>
    <n v="79.7"/>
    <n v="2.4982000000000002"/>
    <n v="6"/>
    <n v="391"/>
    <n v="19.2"/>
    <n v="396.9"/>
    <n v="14.33"/>
    <n v="16.8"/>
    <x v="0"/>
    <x v="0"/>
    <x v="1"/>
  </r>
  <r>
    <n v="11.93"/>
    <n v="0"/>
    <n v="0.57299999999999995"/>
    <n v="6.593"/>
    <n v="69.099999999999994"/>
    <n v="2.4786000000000001"/>
    <n v="1"/>
    <n v="273"/>
    <n v="21"/>
    <n v="391.99"/>
    <n v="9.67"/>
    <n v="22.4"/>
    <x v="0"/>
    <x v="0"/>
    <x v="0"/>
  </r>
  <r>
    <n v="11.93"/>
    <n v="0"/>
    <n v="0.57299999999999995"/>
    <n v="6.12"/>
    <n v="76.7"/>
    <n v="2.2875000000000001"/>
    <n v="1"/>
    <n v="273"/>
    <n v="21"/>
    <n v="396.9"/>
    <n v="9.08"/>
    <n v="20.6"/>
    <x v="0"/>
    <x v="0"/>
    <x v="1"/>
  </r>
  <r>
    <n v="11.93"/>
    <n v="0"/>
    <n v="0.57299999999999995"/>
    <n v="6.976"/>
    <n v="91"/>
    <n v="2.1675"/>
    <n v="1"/>
    <n v="273"/>
    <n v="21"/>
    <n v="396.9"/>
    <n v="5.64"/>
    <n v="23.9"/>
    <x v="0"/>
    <x v="0"/>
    <x v="0"/>
  </r>
  <r>
    <n v="11.93"/>
    <n v="0"/>
    <n v="0.57299999999999995"/>
    <n v="6.7939999999999996"/>
    <n v="89.3"/>
    <n v="2.3889"/>
    <n v="1"/>
    <n v="273"/>
    <n v="21"/>
    <n v="393.45"/>
    <n v="6.48"/>
    <n v="22"/>
    <x v="0"/>
    <x v="0"/>
    <x v="0"/>
  </r>
  <r>
    <n v="11.93"/>
    <n v="0"/>
    <n v="0.57299999999999995"/>
    <n v="6.03"/>
    <n v="80.8"/>
    <n v="2.5049999999999999"/>
    <n v="1"/>
    <n v="273"/>
    <n v="21"/>
    <n v="396.9"/>
    <n v="7.88"/>
    <n v="11.9"/>
    <x v="2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AF945-C914-4D5C-AF1A-F32A23E0F42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5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EDV" fld="1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14FA1-78AB-4B3A-B0A4-EA0F3AC1550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5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EDV" fld="1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82BC0-2F1F-4F47-A925-0922A0EBB44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1:B5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EDV" fld="11" subtotal="average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208BBC-8C3F-4415-9D0A-20F86F95410E}" name="Table1" displayName="Table1" ref="A1:Q507" totalsRowShown="0" headerRowDxfId="3">
  <autoFilter ref="A1:Q507" xr:uid="{E9208BBC-8C3F-4415-9D0A-20F86F95410E}"/>
  <tableColumns count="17">
    <tableColumn id="1" xr3:uid="{F717A22D-A4A6-43CF-A1B2-0A9253CF6573}" name="CRIM"/>
    <tableColumn id="2" xr3:uid="{AFE75FC3-9821-4574-9646-F24E41D92011}" name="ZN"/>
    <tableColumn id="3" xr3:uid="{BE775B5D-548A-42C3-972E-3AD9F8E27372}" name="INDUS"/>
    <tableColumn id="4" xr3:uid="{D2CD6EAE-47F4-45B4-9CC7-8A7116A501CD}" name="CHAS"/>
    <tableColumn id="5" xr3:uid="{573871B3-AFFE-4E57-B8AA-615CE0FEDA04}" name="NOX"/>
    <tableColumn id="6" xr3:uid="{B71B7EEC-7F18-4E5F-9E09-F61244D2BB5E}" name="RM"/>
    <tableColumn id="7" xr3:uid="{85AE5168-3CCF-40B5-8CDE-F7B91C1CEEDF}" name="AGE"/>
    <tableColumn id="8" xr3:uid="{0C0B6BC5-2719-4941-BB56-894C66AA8191}" name="DIS"/>
    <tableColumn id="9" xr3:uid="{18CF9B14-3681-4532-95A5-A7E73719FD8B}" name="RAD"/>
    <tableColumn id="10" xr3:uid="{5C14DA94-6AF3-4E26-BA20-F211B0AA79A1}" name="TAX"/>
    <tableColumn id="11" xr3:uid="{63EC33EF-BEBD-4857-8CE6-44E202D96EEF}" name="PTRATIO"/>
    <tableColumn id="12" xr3:uid="{694B47BE-CC2C-488F-BD6B-A1735F094A8E}" name="B"/>
    <tableColumn id="13" xr3:uid="{4EF2025E-F440-4D9F-BEEB-C33F276898F7}" name="LSTAT"/>
    <tableColumn id="14" xr3:uid="{633E4D25-BA71-4155-8247-E448E0152128}" name="MEDV"/>
    <tableColumn id="15" xr3:uid="{8EE66B7C-E095-4175-8457-910E1B73A4B0}" name="Price Category" dataDxfId="2">
      <calculatedColumnFormula>IF(Table1[[#This Row],[MEDV]]&lt;=15,"Low",IF(Table1[[#This Row],[MEDV]]&lt;=25,"Mid","High"))</calculatedColumnFormula>
    </tableColumn>
    <tableColumn id="16" xr3:uid="{5778F401-5E8F-4F88-AA7B-666CD22CA11A}" name="Crime Risk Band" dataDxfId="1">
      <calculatedColumnFormula>IF(Table1[[#This Row],[CRIM]]&lt;=1,"Low",IF(Table1[[#This Row],[CRIM]]&lt;=10,"Medium","High"))</calculatedColumnFormula>
    </tableColumn>
    <tableColumn id="17" xr3:uid="{B5740B25-01EE-4D6D-AF70-9BB10475DA21}" name="Room Tier" dataDxfId="0">
      <calculatedColumnFormula>IF(Table1[[#This Row],[RM]]&lt;=5.5,"Small",IF(Table1[[#This Row],[RM]]&lt;=6.5,"Medium","Large"))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6F96-3CE9-4798-BE1A-444F1A1F66AF}">
  <dimension ref="A1:T507"/>
  <sheetViews>
    <sheetView tabSelected="1" topLeftCell="G1" workbookViewId="0">
      <pane ySplit="1" topLeftCell="A482" activePane="bottomLeft" state="frozen"/>
      <selection pane="bottomLeft" activeCell="Q2" sqref="Q2"/>
    </sheetView>
  </sheetViews>
  <sheetFormatPr defaultRowHeight="14.4" x14ac:dyDescent="0.3"/>
  <cols>
    <col min="11" max="11" width="10.21875" customWidth="1"/>
    <col min="15" max="17" width="27.21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t="s">
        <v>14</v>
      </c>
      <c r="S1" t="s">
        <v>15</v>
      </c>
      <c r="T1" t="s">
        <v>16</v>
      </c>
    </row>
    <row r="2" spans="1:20" x14ac:dyDescent="0.3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  <c r="O2" t="str">
        <f>IF(Table1[[#This Row],[MEDV]]&lt;=15,"Low",IF(Table1[[#This Row],[MEDV]]&lt;=25,"Mid","High"))</f>
        <v>Mid</v>
      </c>
      <c r="P2" t="str">
        <f>IF(Table1[[#This Row],[CRIM]]&lt;=1,"Low",IF(Table1[[#This Row],[CRIM]]&lt;=10,"Medium","High"))</f>
        <v>Low</v>
      </c>
      <c r="Q2" t="str">
        <f>IF(Table1[[#This Row],[RM]]&lt;=5.5,"Small",IF(Table1[[#This Row],[RM]]&lt;=6.5,"Medium","Large"))</f>
        <v>Large</v>
      </c>
      <c r="R2">
        <f>MAX(Table1[MEDV])</f>
        <v>50</v>
      </c>
      <c r="S2">
        <f>MIN(Table1[MEDV])</f>
        <v>5</v>
      </c>
      <c r="T2">
        <f>AVERAGE(Table1[MEDV])</f>
        <v>22.532806324110698</v>
      </c>
    </row>
    <row r="3" spans="1:20" x14ac:dyDescent="0.3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  <c r="O3" t="str">
        <f>IF(Table1[[#This Row],[MEDV]]&lt;=15,"Low",IF(Table1[[#This Row],[MEDV]]&lt;=25,"Mid","High"))</f>
        <v>Mid</v>
      </c>
      <c r="P3" t="str">
        <f>IF(Table1[[#This Row],[CRIM]]&lt;=1,"Low",IF(Table1[[#This Row],[CRIM]]&lt;=10,"Medium","High"))</f>
        <v>Low</v>
      </c>
      <c r="Q3" t="str">
        <f>IF(Table1[[#This Row],[RM]]&lt;=5.5,"Small",IF(Table1[[#This Row],[RM]]&lt;=6.5,"Medium","Large"))</f>
        <v>Medium</v>
      </c>
    </row>
    <row r="4" spans="1:20" x14ac:dyDescent="0.3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  <c r="O4" t="str">
        <f>IF(Table1[[#This Row],[MEDV]]&lt;=15,"Low",IF(Table1[[#This Row],[MEDV]]&lt;=25,"Mid","High"))</f>
        <v>High</v>
      </c>
      <c r="P4" t="str">
        <f>IF(Table1[[#This Row],[CRIM]]&lt;=1,"Low",IF(Table1[[#This Row],[CRIM]]&lt;=10,"Medium","High"))</f>
        <v>Low</v>
      </c>
      <c r="Q4" t="str">
        <f>IF(Table1[[#This Row],[RM]]&lt;=5.5,"Small",IF(Table1[[#This Row],[RM]]&lt;=6.5,"Medium","Large"))</f>
        <v>Large</v>
      </c>
    </row>
    <row r="5" spans="1:20" x14ac:dyDescent="0.3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  <c r="O5" t="str">
        <f>IF(Table1[[#This Row],[MEDV]]&lt;=15,"Low",IF(Table1[[#This Row],[MEDV]]&lt;=25,"Mid","High"))</f>
        <v>High</v>
      </c>
      <c r="P5" t="str">
        <f>IF(Table1[[#This Row],[CRIM]]&lt;=1,"Low",IF(Table1[[#This Row],[CRIM]]&lt;=10,"Medium","High"))</f>
        <v>Low</v>
      </c>
      <c r="Q5" t="str">
        <f>IF(Table1[[#This Row],[RM]]&lt;=5.5,"Small",IF(Table1[[#This Row],[RM]]&lt;=6.5,"Medium","Large"))</f>
        <v>Large</v>
      </c>
    </row>
    <row r="6" spans="1:20" x14ac:dyDescent="0.3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  <c r="O6" t="str">
        <f>IF(Table1[[#This Row],[MEDV]]&lt;=15,"Low",IF(Table1[[#This Row],[MEDV]]&lt;=25,"Mid","High"))</f>
        <v>High</v>
      </c>
      <c r="P6" t="str">
        <f>IF(Table1[[#This Row],[CRIM]]&lt;=1,"Low",IF(Table1[[#This Row],[CRIM]]&lt;=10,"Medium","High"))</f>
        <v>Low</v>
      </c>
      <c r="Q6" t="str">
        <f>IF(Table1[[#This Row],[RM]]&lt;=5.5,"Small",IF(Table1[[#This Row],[RM]]&lt;=6.5,"Medium","Large"))</f>
        <v>Large</v>
      </c>
    </row>
    <row r="7" spans="1:20" x14ac:dyDescent="0.3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  <c r="O7" t="str">
        <f>IF(Table1[[#This Row],[MEDV]]&lt;=15,"Low",IF(Table1[[#This Row],[MEDV]]&lt;=25,"Mid","High"))</f>
        <v>High</v>
      </c>
      <c r="P7" t="str">
        <f>IF(Table1[[#This Row],[CRIM]]&lt;=1,"Low",IF(Table1[[#This Row],[CRIM]]&lt;=10,"Medium","High"))</f>
        <v>Low</v>
      </c>
      <c r="Q7" t="str">
        <f>IF(Table1[[#This Row],[RM]]&lt;=5.5,"Small",IF(Table1[[#This Row],[RM]]&lt;=6.5,"Medium","Large"))</f>
        <v>Medium</v>
      </c>
    </row>
    <row r="8" spans="1:20" x14ac:dyDescent="0.3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  <c r="O8" t="str">
        <f>IF(Table1[[#This Row],[MEDV]]&lt;=15,"Low",IF(Table1[[#This Row],[MEDV]]&lt;=25,"Mid","High"))</f>
        <v>Mid</v>
      </c>
      <c r="P8" t="str">
        <f>IF(Table1[[#This Row],[CRIM]]&lt;=1,"Low",IF(Table1[[#This Row],[CRIM]]&lt;=10,"Medium","High"))</f>
        <v>Low</v>
      </c>
      <c r="Q8" t="str">
        <f>IF(Table1[[#This Row],[RM]]&lt;=5.5,"Small",IF(Table1[[#This Row],[RM]]&lt;=6.5,"Medium","Large"))</f>
        <v>Medium</v>
      </c>
    </row>
    <row r="9" spans="1:20" x14ac:dyDescent="0.3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  <c r="O9" t="str">
        <f>IF(Table1[[#This Row],[MEDV]]&lt;=15,"Low",IF(Table1[[#This Row],[MEDV]]&lt;=25,"Mid","High"))</f>
        <v>High</v>
      </c>
      <c r="P9" t="str">
        <f>IF(Table1[[#This Row],[CRIM]]&lt;=1,"Low",IF(Table1[[#This Row],[CRIM]]&lt;=10,"Medium","High"))</f>
        <v>Low</v>
      </c>
      <c r="Q9" t="str">
        <f>IF(Table1[[#This Row],[RM]]&lt;=5.5,"Small",IF(Table1[[#This Row],[RM]]&lt;=6.5,"Medium","Large"))</f>
        <v>Medium</v>
      </c>
    </row>
    <row r="10" spans="1:20" x14ac:dyDescent="0.3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  <c r="O10" t="str">
        <f>IF(Table1[[#This Row],[MEDV]]&lt;=15,"Low",IF(Table1[[#This Row],[MEDV]]&lt;=25,"Mid","High"))</f>
        <v>Mid</v>
      </c>
      <c r="P10" t="str">
        <f>IF(Table1[[#This Row],[CRIM]]&lt;=1,"Low",IF(Table1[[#This Row],[CRIM]]&lt;=10,"Medium","High"))</f>
        <v>Low</v>
      </c>
      <c r="Q10" t="str">
        <f>IF(Table1[[#This Row],[RM]]&lt;=5.5,"Small",IF(Table1[[#This Row],[RM]]&lt;=6.5,"Medium","Large"))</f>
        <v>Medium</v>
      </c>
    </row>
    <row r="11" spans="1:20" x14ac:dyDescent="0.3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  <c r="O11" t="str">
        <f>IF(Table1[[#This Row],[MEDV]]&lt;=15,"Low",IF(Table1[[#This Row],[MEDV]]&lt;=25,"Mid","High"))</f>
        <v>Mid</v>
      </c>
      <c r="P11" t="str">
        <f>IF(Table1[[#This Row],[CRIM]]&lt;=1,"Low",IF(Table1[[#This Row],[CRIM]]&lt;=10,"Medium","High"))</f>
        <v>Low</v>
      </c>
      <c r="Q11" t="str">
        <f>IF(Table1[[#This Row],[RM]]&lt;=5.5,"Small",IF(Table1[[#This Row],[RM]]&lt;=6.5,"Medium","Large"))</f>
        <v>Medium</v>
      </c>
    </row>
    <row r="12" spans="1:20" x14ac:dyDescent="0.3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  <c r="O12" t="str">
        <f>IF(Table1[[#This Row],[MEDV]]&lt;=15,"Low",IF(Table1[[#This Row],[MEDV]]&lt;=25,"Mid","High"))</f>
        <v>Low</v>
      </c>
      <c r="P12" t="str">
        <f>IF(Table1[[#This Row],[CRIM]]&lt;=1,"Low",IF(Table1[[#This Row],[CRIM]]&lt;=10,"Medium","High"))</f>
        <v>Low</v>
      </c>
      <c r="Q12" t="str">
        <f>IF(Table1[[#This Row],[RM]]&lt;=5.5,"Small",IF(Table1[[#This Row],[RM]]&lt;=6.5,"Medium","Large"))</f>
        <v>Medium</v>
      </c>
    </row>
    <row r="13" spans="1:20" x14ac:dyDescent="0.3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  <c r="O13" t="str">
        <f>IF(Table1[[#This Row],[MEDV]]&lt;=15,"Low",IF(Table1[[#This Row],[MEDV]]&lt;=25,"Mid","High"))</f>
        <v>Mid</v>
      </c>
      <c r="P13" t="str">
        <f>IF(Table1[[#This Row],[CRIM]]&lt;=1,"Low",IF(Table1[[#This Row],[CRIM]]&lt;=10,"Medium","High"))</f>
        <v>Low</v>
      </c>
      <c r="Q13" t="str">
        <f>IF(Table1[[#This Row],[RM]]&lt;=5.5,"Small",IF(Table1[[#This Row],[RM]]&lt;=6.5,"Medium","Large"))</f>
        <v>Medium</v>
      </c>
    </row>
    <row r="14" spans="1:20" x14ac:dyDescent="0.3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  <c r="O14" t="str">
        <f>IF(Table1[[#This Row],[MEDV]]&lt;=15,"Low",IF(Table1[[#This Row],[MEDV]]&lt;=25,"Mid","High"))</f>
        <v>Mid</v>
      </c>
      <c r="P14" t="str">
        <f>IF(Table1[[#This Row],[CRIM]]&lt;=1,"Low",IF(Table1[[#This Row],[CRIM]]&lt;=10,"Medium","High"))</f>
        <v>Low</v>
      </c>
      <c r="Q14" t="str">
        <f>IF(Table1[[#This Row],[RM]]&lt;=5.5,"Small",IF(Table1[[#This Row],[RM]]&lt;=6.5,"Medium","Large"))</f>
        <v>Medium</v>
      </c>
    </row>
    <row r="15" spans="1:20" x14ac:dyDescent="0.3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  <c r="O15" t="str">
        <f>IF(Table1[[#This Row],[MEDV]]&lt;=15,"Low",IF(Table1[[#This Row],[MEDV]]&lt;=25,"Mid","High"))</f>
        <v>Mid</v>
      </c>
      <c r="P15" t="str">
        <f>IF(Table1[[#This Row],[CRIM]]&lt;=1,"Low",IF(Table1[[#This Row],[CRIM]]&lt;=10,"Medium","High"))</f>
        <v>Low</v>
      </c>
      <c r="Q15" t="str">
        <f>IF(Table1[[#This Row],[RM]]&lt;=5.5,"Small",IF(Table1[[#This Row],[RM]]&lt;=6.5,"Medium","Large"))</f>
        <v>Medium</v>
      </c>
    </row>
    <row r="16" spans="1:20" x14ac:dyDescent="0.3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  <c r="O16" t="str">
        <f>IF(Table1[[#This Row],[MEDV]]&lt;=15,"Low",IF(Table1[[#This Row],[MEDV]]&lt;=25,"Mid","High"))</f>
        <v>Mid</v>
      </c>
      <c r="P16" t="str">
        <f>IF(Table1[[#This Row],[CRIM]]&lt;=1,"Low",IF(Table1[[#This Row],[CRIM]]&lt;=10,"Medium","High"))</f>
        <v>Low</v>
      </c>
      <c r="Q16" t="str">
        <f>IF(Table1[[#This Row],[RM]]&lt;=5.5,"Small",IF(Table1[[#This Row],[RM]]&lt;=6.5,"Medium","Large"))</f>
        <v>Medium</v>
      </c>
    </row>
    <row r="17" spans="1:17" x14ac:dyDescent="0.3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  <c r="O17" t="str">
        <f>IF(Table1[[#This Row],[MEDV]]&lt;=15,"Low",IF(Table1[[#This Row],[MEDV]]&lt;=25,"Mid","High"))</f>
        <v>Mid</v>
      </c>
      <c r="P17" t="str">
        <f>IF(Table1[[#This Row],[CRIM]]&lt;=1,"Low",IF(Table1[[#This Row],[CRIM]]&lt;=10,"Medium","High"))</f>
        <v>Low</v>
      </c>
      <c r="Q17" t="str">
        <f>IF(Table1[[#This Row],[RM]]&lt;=5.5,"Small",IF(Table1[[#This Row],[RM]]&lt;=6.5,"Medium","Large"))</f>
        <v>Medium</v>
      </c>
    </row>
    <row r="18" spans="1:17" x14ac:dyDescent="0.3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  <c r="O18" t="str">
        <f>IF(Table1[[#This Row],[MEDV]]&lt;=15,"Low",IF(Table1[[#This Row],[MEDV]]&lt;=25,"Mid","High"))</f>
        <v>Mid</v>
      </c>
      <c r="P18" t="str">
        <f>IF(Table1[[#This Row],[CRIM]]&lt;=1,"Low",IF(Table1[[#This Row],[CRIM]]&lt;=10,"Medium","High"))</f>
        <v>Medium</v>
      </c>
      <c r="Q18" t="str">
        <f>IF(Table1[[#This Row],[RM]]&lt;=5.5,"Small",IF(Table1[[#This Row],[RM]]&lt;=6.5,"Medium","Large"))</f>
        <v>Medium</v>
      </c>
    </row>
    <row r="19" spans="1:17" x14ac:dyDescent="0.3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  <c r="O19" t="str">
        <f>IF(Table1[[#This Row],[MEDV]]&lt;=15,"Low",IF(Table1[[#This Row],[MEDV]]&lt;=25,"Mid","High"))</f>
        <v>Mid</v>
      </c>
      <c r="P19" t="str">
        <f>IF(Table1[[#This Row],[CRIM]]&lt;=1,"Low",IF(Table1[[#This Row],[CRIM]]&lt;=10,"Medium","High"))</f>
        <v>Low</v>
      </c>
      <c r="Q19" t="str">
        <f>IF(Table1[[#This Row],[RM]]&lt;=5.5,"Small",IF(Table1[[#This Row],[RM]]&lt;=6.5,"Medium","Large"))</f>
        <v>Medium</v>
      </c>
    </row>
    <row r="20" spans="1:17" x14ac:dyDescent="0.3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  <c r="O20" t="str">
        <f>IF(Table1[[#This Row],[MEDV]]&lt;=15,"Low",IF(Table1[[#This Row],[MEDV]]&lt;=25,"Mid","High"))</f>
        <v>Mid</v>
      </c>
      <c r="P20" t="str">
        <f>IF(Table1[[#This Row],[CRIM]]&lt;=1,"Low",IF(Table1[[#This Row],[CRIM]]&lt;=10,"Medium","High"))</f>
        <v>Low</v>
      </c>
      <c r="Q20" t="str">
        <f>IF(Table1[[#This Row],[RM]]&lt;=5.5,"Small",IF(Table1[[#This Row],[RM]]&lt;=6.5,"Medium","Large"))</f>
        <v>Small</v>
      </c>
    </row>
    <row r="21" spans="1:17" x14ac:dyDescent="0.3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  <c r="O21" t="str">
        <f>IF(Table1[[#This Row],[MEDV]]&lt;=15,"Low",IF(Table1[[#This Row],[MEDV]]&lt;=25,"Mid","High"))</f>
        <v>Mid</v>
      </c>
      <c r="P21" t="str">
        <f>IF(Table1[[#This Row],[CRIM]]&lt;=1,"Low",IF(Table1[[#This Row],[CRIM]]&lt;=10,"Medium","High"))</f>
        <v>Low</v>
      </c>
      <c r="Q21" t="str">
        <f>IF(Table1[[#This Row],[RM]]&lt;=5.5,"Small",IF(Table1[[#This Row],[RM]]&lt;=6.5,"Medium","Large"))</f>
        <v>Medium</v>
      </c>
    </row>
    <row r="22" spans="1:17" x14ac:dyDescent="0.3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  <c r="O22" t="str">
        <f>IF(Table1[[#This Row],[MEDV]]&lt;=15,"Low",IF(Table1[[#This Row],[MEDV]]&lt;=25,"Mid","High"))</f>
        <v>Low</v>
      </c>
      <c r="P22" t="str">
        <f>IF(Table1[[#This Row],[CRIM]]&lt;=1,"Low",IF(Table1[[#This Row],[CRIM]]&lt;=10,"Medium","High"))</f>
        <v>Medium</v>
      </c>
      <c r="Q22" t="str">
        <f>IF(Table1[[#This Row],[RM]]&lt;=5.5,"Small",IF(Table1[[#This Row],[RM]]&lt;=6.5,"Medium","Large"))</f>
        <v>Medium</v>
      </c>
    </row>
    <row r="23" spans="1:17" x14ac:dyDescent="0.3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  <c r="O23" t="str">
        <f>IF(Table1[[#This Row],[MEDV]]&lt;=15,"Low",IF(Table1[[#This Row],[MEDV]]&lt;=25,"Mid","High"))</f>
        <v>Mid</v>
      </c>
      <c r="P23" t="str">
        <f>IF(Table1[[#This Row],[CRIM]]&lt;=1,"Low",IF(Table1[[#This Row],[CRIM]]&lt;=10,"Medium","High"))</f>
        <v>Low</v>
      </c>
      <c r="Q23" t="str">
        <f>IF(Table1[[#This Row],[RM]]&lt;=5.5,"Small",IF(Table1[[#This Row],[RM]]&lt;=6.5,"Medium","Large"))</f>
        <v>Medium</v>
      </c>
    </row>
    <row r="24" spans="1:17" x14ac:dyDescent="0.3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  <c r="O24" t="str">
        <f>IF(Table1[[#This Row],[MEDV]]&lt;=15,"Low",IF(Table1[[#This Row],[MEDV]]&lt;=25,"Mid","High"))</f>
        <v>Mid</v>
      </c>
      <c r="P24" t="str">
        <f>IF(Table1[[#This Row],[CRIM]]&lt;=1,"Low",IF(Table1[[#This Row],[CRIM]]&lt;=10,"Medium","High"))</f>
        <v>Medium</v>
      </c>
      <c r="Q24" t="str">
        <f>IF(Table1[[#This Row],[RM]]&lt;=5.5,"Small",IF(Table1[[#This Row],[RM]]&lt;=6.5,"Medium","Large"))</f>
        <v>Medium</v>
      </c>
    </row>
    <row r="25" spans="1:17" x14ac:dyDescent="0.3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  <c r="O25" t="str">
        <f>IF(Table1[[#This Row],[MEDV]]&lt;=15,"Low",IF(Table1[[#This Row],[MEDV]]&lt;=25,"Mid","High"))</f>
        <v>Low</v>
      </c>
      <c r="P25" t="str">
        <f>IF(Table1[[#This Row],[CRIM]]&lt;=1,"Low",IF(Table1[[#This Row],[CRIM]]&lt;=10,"Medium","High"))</f>
        <v>Low</v>
      </c>
      <c r="Q25" t="str">
        <f>IF(Table1[[#This Row],[RM]]&lt;=5.5,"Small",IF(Table1[[#This Row],[RM]]&lt;=6.5,"Medium","Large"))</f>
        <v>Medium</v>
      </c>
    </row>
    <row r="26" spans="1:17" x14ac:dyDescent="0.3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  <c r="O26" t="str">
        <f>IF(Table1[[#This Row],[MEDV]]&lt;=15,"Low",IF(Table1[[#This Row],[MEDV]]&lt;=25,"Mid","High"))</f>
        <v>Mid</v>
      </c>
      <c r="P26" t="str">
        <f>IF(Table1[[#This Row],[CRIM]]&lt;=1,"Low",IF(Table1[[#This Row],[CRIM]]&lt;=10,"Medium","High"))</f>
        <v>Low</v>
      </c>
      <c r="Q26" t="str">
        <f>IF(Table1[[#This Row],[RM]]&lt;=5.5,"Small",IF(Table1[[#This Row],[RM]]&lt;=6.5,"Medium","Large"))</f>
        <v>Medium</v>
      </c>
    </row>
    <row r="27" spans="1:17" x14ac:dyDescent="0.3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  <c r="O27" t="str">
        <f>IF(Table1[[#This Row],[MEDV]]&lt;=15,"Low",IF(Table1[[#This Row],[MEDV]]&lt;=25,"Mid","High"))</f>
        <v>Low</v>
      </c>
      <c r="P27" t="str">
        <f>IF(Table1[[#This Row],[CRIM]]&lt;=1,"Low",IF(Table1[[#This Row],[CRIM]]&lt;=10,"Medium","High"))</f>
        <v>Low</v>
      </c>
      <c r="Q27" t="str">
        <f>IF(Table1[[#This Row],[RM]]&lt;=5.5,"Small",IF(Table1[[#This Row],[RM]]&lt;=6.5,"Medium","Large"))</f>
        <v>Medium</v>
      </c>
    </row>
    <row r="28" spans="1:17" x14ac:dyDescent="0.3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  <c r="O28" t="str">
        <f>IF(Table1[[#This Row],[MEDV]]&lt;=15,"Low",IF(Table1[[#This Row],[MEDV]]&lt;=25,"Mid","High"))</f>
        <v>Mid</v>
      </c>
      <c r="P28" t="str">
        <f>IF(Table1[[#This Row],[CRIM]]&lt;=1,"Low",IF(Table1[[#This Row],[CRIM]]&lt;=10,"Medium","High"))</f>
        <v>Low</v>
      </c>
      <c r="Q28" t="str">
        <f>IF(Table1[[#This Row],[RM]]&lt;=5.5,"Small",IF(Table1[[#This Row],[RM]]&lt;=6.5,"Medium","Large"))</f>
        <v>Medium</v>
      </c>
    </row>
    <row r="29" spans="1:17" x14ac:dyDescent="0.3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  <c r="O29" t="str">
        <f>IF(Table1[[#This Row],[MEDV]]&lt;=15,"Low",IF(Table1[[#This Row],[MEDV]]&lt;=25,"Mid","High"))</f>
        <v>Low</v>
      </c>
      <c r="P29" t="str">
        <f>IF(Table1[[#This Row],[CRIM]]&lt;=1,"Low",IF(Table1[[#This Row],[CRIM]]&lt;=10,"Medium","High"))</f>
        <v>Low</v>
      </c>
      <c r="Q29" t="str">
        <f>IF(Table1[[#This Row],[RM]]&lt;=5.5,"Small",IF(Table1[[#This Row],[RM]]&lt;=6.5,"Medium","Large"))</f>
        <v>Medium</v>
      </c>
    </row>
    <row r="30" spans="1:17" x14ac:dyDescent="0.3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  <c r="O30" t="str">
        <f>IF(Table1[[#This Row],[MEDV]]&lt;=15,"Low",IF(Table1[[#This Row],[MEDV]]&lt;=25,"Mid","High"))</f>
        <v>Mid</v>
      </c>
      <c r="P30" t="str">
        <f>IF(Table1[[#This Row],[CRIM]]&lt;=1,"Low",IF(Table1[[#This Row],[CRIM]]&lt;=10,"Medium","High"))</f>
        <v>Low</v>
      </c>
      <c r="Q30" t="str">
        <f>IF(Table1[[#This Row],[RM]]&lt;=5.5,"Small",IF(Table1[[#This Row],[RM]]&lt;=6.5,"Medium","Large"))</f>
        <v>Medium</v>
      </c>
    </row>
    <row r="31" spans="1:17" x14ac:dyDescent="0.3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  <c r="O31" t="str">
        <f>IF(Table1[[#This Row],[MEDV]]&lt;=15,"Low",IF(Table1[[#This Row],[MEDV]]&lt;=25,"Mid","High"))</f>
        <v>Mid</v>
      </c>
      <c r="P31" t="str">
        <f>IF(Table1[[#This Row],[CRIM]]&lt;=1,"Low",IF(Table1[[#This Row],[CRIM]]&lt;=10,"Medium","High"))</f>
        <v>Medium</v>
      </c>
      <c r="Q31" t="str">
        <f>IF(Table1[[#This Row],[RM]]&lt;=5.5,"Small",IF(Table1[[#This Row],[RM]]&lt;=6.5,"Medium","Large"))</f>
        <v>Large</v>
      </c>
    </row>
    <row r="32" spans="1:17" x14ac:dyDescent="0.3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  <c r="O32" t="str">
        <f>IF(Table1[[#This Row],[MEDV]]&lt;=15,"Low",IF(Table1[[#This Row],[MEDV]]&lt;=25,"Mid","High"))</f>
        <v>Low</v>
      </c>
      <c r="P32" t="str">
        <f>IF(Table1[[#This Row],[CRIM]]&lt;=1,"Low",IF(Table1[[#This Row],[CRIM]]&lt;=10,"Medium","High"))</f>
        <v>Medium</v>
      </c>
      <c r="Q32" t="str">
        <f>IF(Table1[[#This Row],[RM]]&lt;=5.5,"Small",IF(Table1[[#This Row],[RM]]&lt;=6.5,"Medium","Large"))</f>
        <v>Medium</v>
      </c>
    </row>
    <row r="33" spans="1:17" x14ac:dyDescent="0.3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  <c r="O33" t="str">
        <f>IF(Table1[[#This Row],[MEDV]]&lt;=15,"Low",IF(Table1[[#This Row],[MEDV]]&lt;=25,"Mid","High"))</f>
        <v>Low</v>
      </c>
      <c r="P33" t="str">
        <f>IF(Table1[[#This Row],[CRIM]]&lt;=1,"Low",IF(Table1[[#This Row],[CRIM]]&lt;=10,"Medium","High"))</f>
        <v>Medium</v>
      </c>
      <c r="Q33" t="str">
        <f>IF(Table1[[#This Row],[RM]]&lt;=5.5,"Small",IF(Table1[[#This Row],[RM]]&lt;=6.5,"Medium","Large"))</f>
        <v>Medium</v>
      </c>
    </row>
    <row r="34" spans="1:17" x14ac:dyDescent="0.3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  <c r="O34" t="str">
        <f>IF(Table1[[#This Row],[MEDV]]&lt;=15,"Low",IF(Table1[[#This Row],[MEDV]]&lt;=25,"Mid","High"))</f>
        <v>Low</v>
      </c>
      <c r="P34" t="str">
        <f>IF(Table1[[#This Row],[CRIM]]&lt;=1,"Low",IF(Table1[[#This Row],[CRIM]]&lt;=10,"Medium","High"))</f>
        <v>Medium</v>
      </c>
      <c r="Q34" t="str">
        <f>IF(Table1[[#This Row],[RM]]&lt;=5.5,"Small",IF(Table1[[#This Row],[RM]]&lt;=6.5,"Medium","Large"))</f>
        <v>Medium</v>
      </c>
    </row>
    <row r="35" spans="1:17" x14ac:dyDescent="0.3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  <c r="O35" t="str">
        <f>IF(Table1[[#This Row],[MEDV]]&lt;=15,"Low",IF(Table1[[#This Row],[MEDV]]&lt;=25,"Mid","High"))</f>
        <v>Low</v>
      </c>
      <c r="P35" t="str">
        <f>IF(Table1[[#This Row],[CRIM]]&lt;=1,"Low",IF(Table1[[#This Row],[CRIM]]&lt;=10,"Medium","High"))</f>
        <v>Medium</v>
      </c>
      <c r="Q35" t="str">
        <f>IF(Table1[[#This Row],[RM]]&lt;=5.5,"Small",IF(Table1[[#This Row],[RM]]&lt;=6.5,"Medium","Large"))</f>
        <v>Medium</v>
      </c>
    </row>
    <row r="36" spans="1:17" x14ac:dyDescent="0.3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  <c r="O36" t="str">
        <f>IF(Table1[[#This Row],[MEDV]]&lt;=15,"Low",IF(Table1[[#This Row],[MEDV]]&lt;=25,"Mid","High"))</f>
        <v>Low</v>
      </c>
      <c r="P36" t="str">
        <f>IF(Table1[[#This Row],[CRIM]]&lt;=1,"Low",IF(Table1[[#This Row],[CRIM]]&lt;=10,"Medium","High"))</f>
        <v>Medium</v>
      </c>
      <c r="Q36" t="str">
        <f>IF(Table1[[#This Row],[RM]]&lt;=5.5,"Small",IF(Table1[[#This Row],[RM]]&lt;=6.5,"Medium","Large"))</f>
        <v>Medium</v>
      </c>
    </row>
    <row r="37" spans="1:17" x14ac:dyDescent="0.3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  <c r="O37" t="str">
        <f>IF(Table1[[#This Row],[MEDV]]&lt;=15,"Low",IF(Table1[[#This Row],[MEDV]]&lt;=25,"Mid","High"))</f>
        <v>Mid</v>
      </c>
      <c r="P37" t="str">
        <f>IF(Table1[[#This Row],[CRIM]]&lt;=1,"Low",IF(Table1[[#This Row],[CRIM]]&lt;=10,"Medium","High"))</f>
        <v>Low</v>
      </c>
      <c r="Q37" t="str">
        <f>IF(Table1[[#This Row],[RM]]&lt;=5.5,"Small",IF(Table1[[#This Row],[RM]]&lt;=6.5,"Medium","Large"))</f>
        <v>Medium</v>
      </c>
    </row>
    <row r="38" spans="1:17" x14ac:dyDescent="0.3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  <c r="O38" t="str">
        <f>IF(Table1[[#This Row],[MEDV]]&lt;=15,"Low",IF(Table1[[#This Row],[MEDV]]&lt;=25,"Mid","High"))</f>
        <v>Mid</v>
      </c>
      <c r="P38" t="str">
        <f>IF(Table1[[#This Row],[CRIM]]&lt;=1,"Low",IF(Table1[[#This Row],[CRIM]]&lt;=10,"Medium","High"))</f>
        <v>Low</v>
      </c>
      <c r="Q38" t="str">
        <f>IF(Table1[[#This Row],[RM]]&lt;=5.5,"Small",IF(Table1[[#This Row],[RM]]&lt;=6.5,"Medium","Large"))</f>
        <v>Medium</v>
      </c>
    </row>
    <row r="39" spans="1:17" x14ac:dyDescent="0.3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  <c r="O39" t="str">
        <f>IF(Table1[[#This Row],[MEDV]]&lt;=15,"Low",IF(Table1[[#This Row],[MEDV]]&lt;=25,"Mid","High"))</f>
        <v>Mid</v>
      </c>
      <c r="P39" t="str">
        <f>IF(Table1[[#This Row],[CRIM]]&lt;=1,"Low",IF(Table1[[#This Row],[CRIM]]&lt;=10,"Medium","High"))</f>
        <v>Low</v>
      </c>
      <c r="Q39" t="str">
        <f>IF(Table1[[#This Row],[RM]]&lt;=5.5,"Small",IF(Table1[[#This Row],[RM]]&lt;=6.5,"Medium","Large"))</f>
        <v>Medium</v>
      </c>
    </row>
    <row r="40" spans="1:17" x14ac:dyDescent="0.3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  <c r="O40" t="str">
        <f>IF(Table1[[#This Row],[MEDV]]&lt;=15,"Low",IF(Table1[[#This Row],[MEDV]]&lt;=25,"Mid","High"))</f>
        <v>Mid</v>
      </c>
      <c r="P40" t="str">
        <f>IF(Table1[[#This Row],[CRIM]]&lt;=1,"Low",IF(Table1[[#This Row],[CRIM]]&lt;=10,"Medium","High"))</f>
        <v>Low</v>
      </c>
      <c r="Q40" t="str">
        <f>IF(Table1[[#This Row],[RM]]&lt;=5.5,"Small",IF(Table1[[#This Row],[RM]]&lt;=6.5,"Medium","Large"))</f>
        <v>Medium</v>
      </c>
    </row>
    <row r="41" spans="1:17" x14ac:dyDescent="0.3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  <c r="O41" t="str">
        <f>IF(Table1[[#This Row],[MEDV]]&lt;=15,"Low",IF(Table1[[#This Row],[MEDV]]&lt;=25,"Mid","High"))</f>
        <v>High</v>
      </c>
      <c r="P41" t="str">
        <f>IF(Table1[[#This Row],[CRIM]]&lt;=1,"Low",IF(Table1[[#This Row],[CRIM]]&lt;=10,"Medium","High"))</f>
        <v>Low</v>
      </c>
      <c r="Q41" t="str">
        <f>IF(Table1[[#This Row],[RM]]&lt;=5.5,"Small",IF(Table1[[#This Row],[RM]]&lt;=6.5,"Medium","Large"))</f>
        <v>Large</v>
      </c>
    </row>
    <row r="42" spans="1:17" x14ac:dyDescent="0.3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  <c r="O42" t="str">
        <f>IF(Table1[[#This Row],[MEDV]]&lt;=15,"Low",IF(Table1[[#This Row],[MEDV]]&lt;=25,"Mid","High"))</f>
        <v>High</v>
      </c>
      <c r="P42" t="str">
        <f>IF(Table1[[#This Row],[CRIM]]&lt;=1,"Low",IF(Table1[[#This Row],[CRIM]]&lt;=10,"Medium","High"))</f>
        <v>Low</v>
      </c>
      <c r="Q42" t="str">
        <f>IF(Table1[[#This Row],[RM]]&lt;=5.5,"Small",IF(Table1[[#This Row],[RM]]&lt;=6.5,"Medium","Large"))</f>
        <v>Large</v>
      </c>
    </row>
    <row r="43" spans="1:17" x14ac:dyDescent="0.3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  <c r="O43" t="str">
        <f>IF(Table1[[#This Row],[MEDV]]&lt;=15,"Low",IF(Table1[[#This Row],[MEDV]]&lt;=25,"Mid","High"))</f>
        <v>High</v>
      </c>
      <c r="P43" t="str">
        <f>IF(Table1[[#This Row],[CRIM]]&lt;=1,"Low",IF(Table1[[#This Row],[CRIM]]&lt;=10,"Medium","High"))</f>
        <v>Low</v>
      </c>
      <c r="Q43" t="str">
        <f>IF(Table1[[#This Row],[RM]]&lt;=5.5,"Small",IF(Table1[[#This Row],[RM]]&lt;=6.5,"Medium","Large"))</f>
        <v>Large</v>
      </c>
    </row>
    <row r="44" spans="1:17" x14ac:dyDescent="0.3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  <c r="O44" t="str">
        <f>IF(Table1[[#This Row],[MEDV]]&lt;=15,"Low",IF(Table1[[#This Row],[MEDV]]&lt;=25,"Mid","High"))</f>
        <v>High</v>
      </c>
      <c r="P44" t="str">
        <f>IF(Table1[[#This Row],[CRIM]]&lt;=1,"Low",IF(Table1[[#This Row],[CRIM]]&lt;=10,"Medium","High"))</f>
        <v>Low</v>
      </c>
      <c r="Q44" t="str">
        <f>IF(Table1[[#This Row],[RM]]&lt;=5.5,"Small",IF(Table1[[#This Row],[RM]]&lt;=6.5,"Medium","Large"))</f>
        <v>Medium</v>
      </c>
    </row>
    <row r="45" spans="1:17" x14ac:dyDescent="0.3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  <c r="O45" t="str">
        <f>IF(Table1[[#This Row],[MEDV]]&lt;=15,"Low",IF(Table1[[#This Row],[MEDV]]&lt;=25,"Mid","High"))</f>
        <v>Mid</v>
      </c>
      <c r="P45" t="str">
        <f>IF(Table1[[#This Row],[CRIM]]&lt;=1,"Low",IF(Table1[[#This Row],[CRIM]]&lt;=10,"Medium","High"))</f>
        <v>Low</v>
      </c>
      <c r="Q45" t="str">
        <f>IF(Table1[[#This Row],[RM]]&lt;=5.5,"Small",IF(Table1[[#This Row],[RM]]&lt;=6.5,"Medium","Large"))</f>
        <v>Medium</v>
      </c>
    </row>
    <row r="46" spans="1:17" x14ac:dyDescent="0.3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  <c r="O46" t="str">
        <f>IF(Table1[[#This Row],[MEDV]]&lt;=15,"Low",IF(Table1[[#This Row],[MEDV]]&lt;=25,"Mid","High"))</f>
        <v>Mid</v>
      </c>
      <c r="P46" t="str">
        <f>IF(Table1[[#This Row],[CRIM]]&lt;=1,"Low",IF(Table1[[#This Row],[CRIM]]&lt;=10,"Medium","High"))</f>
        <v>Low</v>
      </c>
      <c r="Q46" t="str">
        <f>IF(Table1[[#This Row],[RM]]&lt;=5.5,"Small",IF(Table1[[#This Row],[RM]]&lt;=6.5,"Medium","Large"))</f>
        <v>Medium</v>
      </c>
    </row>
    <row r="47" spans="1:17" x14ac:dyDescent="0.3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  <c r="O47" t="str">
        <f>IF(Table1[[#This Row],[MEDV]]&lt;=15,"Low",IF(Table1[[#This Row],[MEDV]]&lt;=25,"Mid","High"))</f>
        <v>Mid</v>
      </c>
      <c r="P47" t="str">
        <f>IF(Table1[[#This Row],[CRIM]]&lt;=1,"Low",IF(Table1[[#This Row],[CRIM]]&lt;=10,"Medium","High"))</f>
        <v>Low</v>
      </c>
      <c r="Q47" t="str">
        <f>IF(Table1[[#This Row],[RM]]&lt;=5.5,"Small",IF(Table1[[#This Row],[RM]]&lt;=6.5,"Medium","Large"))</f>
        <v>Medium</v>
      </c>
    </row>
    <row r="48" spans="1:17" x14ac:dyDescent="0.3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  <c r="O48" t="str">
        <f>IF(Table1[[#This Row],[MEDV]]&lt;=15,"Low",IF(Table1[[#This Row],[MEDV]]&lt;=25,"Mid","High"))</f>
        <v>Mid</v>
      </c>
      <c r="P48" t="str">
        <f>IF(Table1[[#This Row],[CRIM]]&lt;=1,"Low",IF(Table1[[#This Row],[CRIM]]&lt;=10,"Medium","High"))</f>
        <v>Low</v>
      </c>
      <c r="Q48" t="str">
        <f>IF(Table1[[#This Row],[RM]]&lt;=5.5,"Small",IF(Table1[[#This Row],[RM]]&lt;=6.5,"Medium","Large"))</f>
        <v>Medium</v>
      </c>
    </row>
    <row r="49" spans="1:17" x14ac:dyDescent="0.3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  <c r="O49" t="str">
        <f>IF(Table1[[#This Row],[MEDV]]&lt;=15,"Low",IF(Table1[[#This Row],[MEDV]]&lt;=25,"Mid","High"))</f>
        <v>Mid</v>
      </c>
      <c r="P49" t="str">
        <f>IF(Table1[[#This Row],[CRIM]]&lt;=1,"Low",IF(Table1[[#This Row],[CRIM]]&lt;=10,"Medium","High"))</f>
        <v>Low</v>
      </c>
      <c r="Q49" t="str">
        <f>IF(Table1[[#This Row],[RM]]&lt;=5.5,"Small",IF(Table1[[#This Row],[RM]]&lt;=6.5,"Medium","Large"))</f>
        <v>Medium</v>
      </c>
    </row>
    <row r="50" spans="1:17" x14ac:dyDescent="0.3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  <c r="O50" t="str">
        <f>IF(Table1[[#This Row],[MEDV]]&lt;=15,"Low",IF(Table1[[#This Row],[MEDV]]&lt;=25,"Mid","High"))</f>
        <v>Low</v>
      </c>
      <c r="P50" t="str">
        <f>IF(Table1[[#This Row],[CRIM]]&lt;=1,"Low",IF(Table1[[#This Row],[CRIM]]&lt;=10,"Medium","High"))</f>
        <v>Low</v>
      </c>
      <c r="Q50" t="str">
        <f>IF(Table1[[#This Row],[RM]]&lt;=5.5,"Small",IF(Table1[[#This Row],[RM]]&lt;=6.5,"Medium","Large"))</f>
        <v>Small</v>
      </c>
    </row>
    <row r="51" spans="1:17" x14ac:dyDescent="0.3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  <c r="O51" t="str">
        <f>IF(Table1[[#This Row],[MEDV]]&lt;=15,"Low",IF(Table1[[#This Row],[MEDV]]&lt;=25,"Mid","High"))</f>
        <v>Mid</v>
      </c>
      <c r="P51" t="str">
        <f>IF(Table1[[#This Row],[CRIM]]&lt;=1,"Low",IF(Table1[[#This Row],[CRIM]]&lt;=10,"Medium","High"))</f>
        <v>Low</v>
      </c>
      <c r="Q51" t="str">
        <f>IF(Table1[[#This Row],[RM]]&lt;=5.5,"Small",IF(Table1[[#This Row],[RM]]&lt;=6.5,"Medium","Large"))</f>
        <v>Medium</v>
      </c>
    </row>
    <row r="52" spans="1:17" x14ac:dyDescent="0.3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  <c r="O52" t="str">
        <f>IF(Table1[[#This Row],[MEDV]]&lt;=15,"Low",IF(Table1[[#This Row],[MEDV]]&lt;=25,"Mid","High"))</f>
        <v>Mid</v>
      </c>
      <c r="P52" t="str">
        <f>IF(Table1[[#This Row],[CRIM]]&lt;=1,"Low",IF(Table1[[#This Row],[CRIM]]&lt;=10,"Medium","High"))</f>
        <v>Low</v>
      </c>
      <c r="Q52" t="str">
        <f>IF(Table1[[#This Row],[RM]]&lt;=5.5,"Small",IF(Table1[[#This Row],[RM]]&lt;=6.5,"Medium","Large"))</f>
        <v>Medium</v>
      </c>
    </row>
    <row r="53" spans="1:17" x14ac:dyDescent="0.3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  <c r="O53" t="str">
        <f>IF(Table1[[#This Row],[MEDV]]&lt;=15,"Low",IF(Table1[[#This Row],[MEDV]]&lt;=25,"Mid","High"))</f>
        <v>Mid</v>
      </c>
      <c r="P53" t="str">
        <f>IF(Table1[[#This Row],[CRIM]]&lt;=1,"Low",IF(Table1[[#This Row],[CRIM]]&lt;=10,"Medium","High"))</f>
        <v>Low</v>
      </c>
      <c r="Q53" t="str">
        <f>IF(Table1[[#This Row],[RM]]&lt;=5.5,"Small",IF(Table1[[#This Row],[RM]]&lt;=6.5,"Medium","Large"))</f>
        <v>Medium</v>
      </c>
    </row>
    <row r="54" spans="1:17" x14ac:dyDescent="0.3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  <c r="O54" t="str">
        <f>IF(Table1[[#This Row],[MEDV]]&lt;=15,"Low",IF(Table1[[#This Row],[MEDV]]&lt;=25,"Mid","High"))</f>
        <v>Mid</v>
      </c>
      <c r="P54" t="str">
        <f>IF(Table1[[#This Row],[CRIM]]&lt;=1,"Low",IF(Table1[[#This Row],[CRIM]]&lt;=10,"Medium","High"))</f>
        <v>Low</v>
      </c>
      <c r="Q54" t="str">
        <f>IF(Table1[[#This Row],[RM]]&lt;=5.5,"Small",IF(Table1[[#This Row],[RM]]&lt;=6.5,"Medium","Large"))</f>
        <v>Large</v>
      </c>
    </row>
    <row r="55" spans="1:17" x14ac:dyDescent="0.3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  <c r="O55" t="str">
        <f>IF(Table1[[#This Row],[MEDV]]&lt;=15,"Low",IF(Table1[[#This Row],[MEDV]]&lt;=25,"Mid","High"))</f>
        <v>Mid</v>
      </c>
      <c r="P55" t="str">
        <f>IF(Table1[[#This Row],[CRIM]]&lt;=1,"Low",IF(Table1[[#This Row],[CRIM]]&lt;=10,"Medium","High"))</f>
        <v>Low</v>
      </c>
      <c r="Q55" t="str">
        <f>IF(Table1[[#This Row],[RM]]&lt;=5.5,"Small",IF(Table1[[#This Row],[RM]]&lt;=6.5,"Medium","Large"))</f>
        <v>Medium</v>
      </c>
    </row>
    <row r="56" spans="1:17" x14ac:dyDescent="0.3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  <c r="O56" t="str">
        <f>IF(Table1[[#This Row],[MEDV]]&lt;=15,"Low",IF(Table1[[#This Row],[MEDV]]&lt;=25,"Mid","High"))</f>
        <v>Mid</v>
      </c>
      <c r="P56" t="str">
        <f>IF(Table1[[#This Row],[CRIM]]&lt;=1,"Low",IF(Table1[[#This Row],[CRIM]]&lt;=10,"Medium","High"))</f>
        <v>Low</v>
      </c>
      <c r="Q56" t="str">
        <f>IF(Table1[[#This Row],[RM]]&lt;=5.5,"Small",IF(Table1[[#This Row],[RM]]&lt;=6.5,"Medium","Large"))</f>
        <v>Medium</v>
      </c>
    </row>
    <row r="57" spans="1:17" x14ac:dyDescent="0.3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  <c r="O57" t="str">
        <f>IF(Table1[[#This Row],[MEDV]]&lt;=15,"Low",IF(Table1[[#This Row],[MEDV]]&lt;=25,"Mid","High"))</f>
        <v>High</v>
      </c>
      <c r="P57" t="str">
        <f>IF(Table1[[#This Row],[CRIM]]&lt;=1,"Low",IF(Table1[[#This Row],[CRIM]]&lt;=10,"Medium","High"))</f>
        <v>Low</v>
      </c>
      <c r="Q57" t="str">
        <f>IF(Table1[[#This Row],[RM]]&lt;=5.5,"Small",IF(Table1[[#This Row],[RM]]&lt;=6.5,"Medium","Large"))</f>
        <v>Large</v>
      </c>
    </row>
    <row r="58" spans="1:17" x14ac:dyDescent="0.3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  <c r="O58" t="str">
        <f>IF(Table1[[#This Row],[MEDV]]&lt;=15,"Low",IF(Table1[[#This Row],[MEDV]]&lt;=25,"Mid","High"))</f>
        <v>Mid</v>
      </c>
      <c r="P58" t="str">
        <f>IF(Table1[[#This Row],[CRIM]]&lt;=1,"Low",IF(Table1[[#This Row],[CRIM]]&lt;=10,"Medium","High"))</f>
        <v>Low</v>
      </c>
      <c r="Q58" t="str">
        <f>IF(Table1[[#This Row],[RM]]&lt;=5.5,"Small",IF(Table1[[#This Row],[RM]]&lt;=6.5,"Medium","Large"))</f>
        <v>Medium</v>
      </c>
    </row>
    <row r="59" spans="1:17" x14ac:dyDescent="0.3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  <c r="O59" t="str">
        <f>IF(Table1[[#This Row],[MEDV]]&lt;=15,"Low",IF(Table1[[#This Row],[MEDV]]&lt;=25,"Mid","High"))</f>
        <v>High</v>
      </c>
      <c r="P59" t="str">
        <f>IF(Table1[[#This Row],[CRIM]]&lt;=1,"Low",IF(Table1[[#This Row],[CRIM]]&lt;=10,"Medium","High"))</f>
        <v>Low</v>
      </c>
      <c r="Q59" t="str">
        <f>IF(Table1[[#This Row],[RM]]&lt;=5.5,"Small",IF(Table1[[#This Row],[RM]]&lt;=6.5,"Medium","Large"))</f>
        <v>Large</v>
      </c>
    </row>
    <row r="60" spans="1:17" x14ac:dyDescent="0.3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  <c r="O60" t="str">
        <f>IF(Table1[[#This Row],[MEDV]]&lt;=15,"Low",IF(Table1[[#This Row],[MEDV]]&lt;=25,"Mid","High"))</f>
        <v>Mid</v>
      </c>
      <c r="P60" t="str">
        <f>IF(Table1[[#This Row],[CRIM]]&lt;=1,"Low",IF(Table1[[#This Row],[CRIM]]&lt;=10,"Medium","High"))</f>
        <v>Low</v>
      </c>
      <c r="Q60" t="str">
        <f>IF(Table1[[#This Row],[RM]]&lt;=5.5,"Small",IF(Table1[[#This Row],[RM]]&lt;=6.5,"Medium","Large"))</f>
        <v>Medium</v>
      </c>
    </row>
    <row r="61" spans="1:17" x14ac:dyDescent="0.3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  <c r="O61" t="str">
        <f>IF(Table1[[#This Row],[MEDV]]&lt;=15,"Low",IF(Table1[[#This Row],[MEDV]]&lt;=25,"Mid","High"))</f>
        <v>Mid</v>
      </c>
      <c r="P61" t="str">
        <f>IF(Table1[[#This Row],[CRIM]]&lt;=1,"Low",IF(Table1[[#This Row],[CRIM]]&lt;=10,"Medium","High"))</f>
        <v>Low</v>
      </c>
      <c r="Q61" t="str">
        <f>IF(Table1[[#This Row],[RM]]&lt;=5.5,"Small",IF(Table1[[#This Row],[RM]]&lt;=6.5,"Medium","Large"))</f>
        <v>Medium</v>
      </c>
    </row>
    <row r="62" spans="1:17" x14ac:dyDescent="0.3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  <c r="O62" t="str">
        <f>IF(Table1[[#This Row],[MEDV]]&lt;=15,"Low",IF(Table1[[#This Row],[MEDV]]&lt;=25,"Mid","High"))</f>
        <v>Mid</v>
      </c>
      <c r="P62" t="str">
        <f>IF(Table1[[#This Row],[CRIM]]&lt;=1,"Low",IF(Table1[[#This Row],[CRIM]]&lt;=10,"Medium","High"))</f>
        <v>Low</v>
      </c>
      <c r="Q62" t="str">
        <f>IF(Table1[[#This Row],[RM]]&lt;=5.5,"Small",IF(Table1[[#This Row],[RM]]&lt;=6.5,"Medium","Large"))</f>
        <v>Medium</v>
      </c>
    </row>
    <row r="63" spans="1:17" x14ac:dyDescent="0.3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  <c r="O63" t="str">
        <f>IF(Table1[[#This Row],[MEDV]]&lt;=15,"Low",IF(Table1[[#This Row],[MEDV]]&lt;=25,"Mid","High"))</f>
        <v>Mid</v>
      </c>
      <c r="P63" t="str">
        <f>IF(Table1[[#This Row],[CRIM]]&lt;=1,"Low",IF(Table1[[#This Row],[CRIM]]&lt;=10,"Medium","High"))</f>
        <v>Low</v>
      </c>
      <c r="Q63" t="str">
        <f>IF(Table1[[#This Row],[RM]]&lt;=5.5,"Small",IF(Table1[[#This Row],[RM]]&lt;=6.5,"Medium","Large"))</f>
        <v>Medium</v>
      </c>
    </row>
    <row r="64" spans="1:17" x14ac:dyDescent="0.3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  <c r="O64" t="str">
        <f>IF(Table1[[#This Row],[MEDV]]&lt;=15,"Low",IF(Table1[[#This Row],[MEDV]]&lt;=25,"Mid","High"))</f>
        <v>Mid</v>
      </c>
      <c r="P64" t="str">
        <f>IF(Table1[[#This Row],[CRIM]]&lt;=1,"Low",IF(Table1[[#This Row],[CRIM]]&lt;=10,"Medium","High"))</f>
        <v>Low</v>
      </c>
      <c r="Q64" t="str">
        <f>IF(Table1[[#This Row],[RM]]&lt;=5.5,"Small",IF(Table1[[#This Row],[RM]]&lt;=6.5,"Medium","Large"))</f>
        <v>Medium</v>
      </c>
    </row>
    <row r="65" spans="1:17" x14ac:dyDescent="0.3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  <c r="O65" t="str">
        <f>IF(Table1[[#This Row],[MEDV]]&lt;=15,"Low",IF(Table1[[#This Row],[MEDV]]&lt;=25,"Mid","High"))</f>
        <v>Mid</v>
      </c>
      <c r="P65" t="str">
        <f>IF(Table1[[#This Row],[CRIM]]&lt;=1,"Low",IF(Table1[[#This Row],[CRIM]]&lt;=10,"Medium","High"))</f>
        <v>Low</v>
      </c>
      <c r="Q65" t="str">
        <f>IF(Table1[[#This Row],[RM]]&lt;=5.5,"Small",IF(Table1[[#This Row],[RM]]&lt;=6.5,"Medium","Large"))</f>
        <v>Large</v>
      </c>
    </row>
    <row r="66" spans="1:17" x14ac:dyDescent="0.3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  <c r="O66" t="str">
        <f>IF(Table1[[#This Row],[MEDV]]&lt;=15,"Low",IF(Table1[[#This Row],[MEDV]]&lt;=25,"Mid","High"))</f>
        <v>High</v>
      </c>
      <c r="P66" t="str">
        <f>IF(Table1[[#This Row],[CRIM]]&lt;=1,"Low",IF(Table1[[#This Row],[CRIM]]&lt;=10,"Medium","High"))</f>
        <v>Low</v>
      </c>
      <c r="Q66" t="str">
        <f>IF(Table1[[#This Row],[RM]]&lt;=5.5,"Small",IF(Table1[[#This Row],[RM]]&lt;=6.5,"Medium","Large"))</f>
        <v>Large</v>
      </c>
    </row>
    <row r="67" spans="1:17" x14ac:dyDescent="0.3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  <c r="O67" t="str">
        <f>IF(Table1[[#This Row],[MEDV]]&lt;=15,"Low",IF(Table1[[#This Row],[MEDV]]&lt;=25,"Mid","High"))</f>
        <v>Mid</v>
      </c>
      <c r="P67" t="str">
        <f>IF(Table1[[#This Row],[CRIM]]&lt;=1,"Low",IF(Table1[[#This Row],[CRIM]]&lt;=10,"Medium","High"))</f>
        <v>Low</v>
      </c>
      <c r="Q67" t="str">
        <f>IF(Table1[[#This Row],[RM]]&lt;=5.5,"Small",IF(Table1[[#This Row],[RM]]&lt;=6.5,"Medium","Large"))</f>
        <v>Medium</v>
      </c>
    </row>
    <row r="68" spans="1:17" x14ac:dyDescent="0.3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  <c r="O68" t="str">
        <f>IF(Table1[[#This Row],[MEDV]]&lt;=15,"Low",IF(Table1[[#This Row],[MEDV]]&lt;=25,"Mid","High"))</f>
        <v>Mid</v>
      </c>
      <c r="P68" t="str">
        <f>IF(Table1[[#This Row],[CRIM]]&lt;=1,"Low",IF(Table1[[#This Row],[CRIM]]&lt;=10,"Medium","High"))</f>
        <v>Low</v>
      </c>
      <c r="Q68" t="str">
        <f>IF(Table1[[#This Row],[RM]]&lt;=5.5,"Small",IF(Table1[[#This Row],[RM]]&lt;=6.5,"Medium","Large"))</f>
        <v>Medium</v>
      </c>
    </row>
    <row r="69" spans="1:17" x14ac:dyDescent="0.3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  <c r="O69" t="str">
        <f>IF(Table1[[#This Row],[MEDV]]&lt;=15,"Low",IF(Table1[[#This Row],[MEDV]]&lt;=25,"Mid","High"))</f>
        <v>Mid</v>
      </c>
      <c r="P69" t="str">
        <f>IF(Table1[[#This Row],[CRIM]]&lt;=1,"Low",IF(Table1[[#This Row],[CRIM]]&lt;=10,"Medium","High"))</f>
        <v>Low</v>
      </c>
      <c r="Q69" t="str">
        <f>IF(Table1[[#This Row],[RM]]&lt;=5.5,"Small",IF(Table1[[#This Row],[RM]]&lt;=6.5,"Medium","Large"))</f>
        <v>Medium</v>
      </c>
    </row>
    <row r="70" spans="1:17" x14ac:dyDescent="0.3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  <c r="O70" t="str">
        <f>IF(Table1[[#This Row],[MEDV]]&lt;=15,"Low",IF(Table1[[#This Row],[MEDV]]&lt;=25,"Mid","High"))</f>
        <v>Mid</v>
      </c>
      <c r="P70" t="str">
        <f>IF(Table1[[#This Row],[CRIM]]&lt;=1,"Low",IF(Table1[[#This Row],[CRIM]]&lt;=10,"Medium","High"))</f>
        <v>Low</v>
      </c>
      <c r="Q70" t="str">
        <f>IF(Table1[[#This Row],[RM]]&lt;=5.5,"Small",IF(Table1[[#This Row],[RM]]&lt;=6.5,"Medium","Large"))</f>
        <v>Medium</v>
      </c>
    </row>
    <row r="71" spans="1:17" x14ac:dyDescent="0.3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  <c r="O71" t="str">
        <f>IF(Table1[[#This Row],[MEDV]]&lt;=15,"Low",IF(Table1[[#This Row],[MEDV]]&lt;=25,"Mid","High"))</f>
        <v>Mid</v>
      </c>
      <c r="P71" t="str">
        <f>IF(Table1[[#This Row],[CRIM]]&lt;=1,"Low",IF(Table1[[#This Row],[CRIM]]&lt;=10,"Medium","High"))</f>
        <v>Low</v>
      </c>
      <c r="Q71" t="str">
        <f>IF(Table1[[#This Row],[RM]]&lt;=5.5,"Small",IF(Table1[[#This Row],[RM]]&lt;=6.5,"Medium","Large"))</f>
        <v>Medium</v>
      </c>
    </row>
    <row r="72" spans="1:17" x14ac:dyDescent="0.3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  <c r="O72" t="str">
        <f>IF(Table1[[#This Row],[MEDV]]&lt;=15,"Low",IF(Table1[[#This Row],[MEDV]]&lt;=25,"Mid","High"))</f>
        <v>Mid</v>
      </c>
      <c r="P72" t="str">
        <f>IF(Table1[[#This Row],[CRIM]]&lt;=1,"Low",IF(Table1[[#This Row],[CRIM]]&lt;=10,"Medium","High"))</f>
        <v>Low</v>
      </c>
      <c r="Q72" t="str">
        <f>IF(Table1[[#This Row],[RM]]&lt;=5.5,"Small",IF(Table1[[#This Row],[RM]]&lt;=6.5,"Medium","Large"))</f>
        <v>Medium</v>
      </c>
    </row>
    <row r="73" spans="1:17" x14ac:dyDescent="0.3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  <c r="O73" t="str">
        <f>IF(Table1[[#This Row],[MEDV]]&lt;=15,"Low",IF(Table1[[#This Row],[MEDV]]&lt;=25,"Mid","High"))</f>
        <v>Mid</v>
      </c>
      <c r="P73" t="str">
        <f>IF(Table1[[#This Row],[CRIM]]&lt;=1,"Low",IF(Table1[[#This Row],[CRIM]]&lt;=10,"Medium","High"))</f>
        <v>Low</v>
      </c>
      <c r="Q73" t="str">
        <f>IF(Table1[[#This Row],[RM]]&lt;=5.5,"Small",IF(Table1[[#This Row],[RM]]&lt;=6.5,"Medium","Large"))</f>
        <v>Medium</v>
      </c>
    </row>
    <row r="74" spans="1:17" x14ac:dyDescent="0.3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  <c r="O74" t="str">
        <f>IF(Table1[[#This Row],[MEDV]]&lt;=15,"Low",IF(Table1[[#This Row],[MEDV]]&lt;=25,"Mid","High"))</f>
        <v>Mid</v>
      </c>
      <c r="P74" t="str">
        <f>IF(Table1[[#This Row],[CRIM]]&lt;=1,"Low",IF(Table1[[#This Row],[CRIM]]&lt;=10,"Medium","High"))</f>
        <v>Low</v>
      </c>
      <c r="Q74" t="str">
        <f>IF(Table1[[#This Row],[RM]]&lt;=5.5,"Small",IF(Table1[[#This Row],[RM]]&lt;=6.5,"Medium","Large"))</f>
        <v>Medium</v>
      </c>
    </row>
    <row r="75" spans="1:17" x14ac:dyDescent="0.3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  <c r="O75" t="str">
        <f>IF(Table1[[#This Row],[MEDV]]&lt;=15,"Low",IF(Table1[[#This Row],[MEDV]]&lt;=25,"Mid","High"))</f>
        <v>Mid</v>
      </c>
      <c r="P75" t="str">
        <f>IF(Table1[[#This Row],[CRIM]]&lt;=1,"Low",IF(Table1[[#This Row],[CRIM]]&lt;=10,"Medium","High"))</f>
        <v>Low</v>
      </c>
      <c r="Q75" t="str">
        <f>IF(Table1[[#This Row],[RM]]&lt;=5.5,"Small",IF(Table1[[#This Row],[RM]]&lt;=6.5,"Medium","Large"))</f>
        <v>Medium</v>
      </c>
    </row>
    <row r="76" spans="1:17" x14ac:dyDescent="0.3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  <c r="O76" t="str">
        <f>IF(Table1[[#This Row],[MEDV]]&lt;=15,"Low",IF(Table1[[#This Row],[MEDV]]&lt;=25,"Mid","High"))</f>
        <v>Mid</v>
      </c>
      <c r="P76" t="str">
        <f>IF(Table1[[#This Row],[CRIM]]&lt;=1,"Low",IF(Table1[[#This Row],[CRIM]]&lt;=10,"Medium","High"))</f>
        <v>Low</v>
      </c>
      <c r="Q76" t="str">
        <f>IF(Table1[[#This Row],[RM]]&lt;=5.5,"Small",IF(Table1[[#This Row],[RM]]&lt;=6.5,"Medium","Large"))</f>
        <v>Medium</v>
      </c>
    </row>
    <row r="77" spans="1:17" x14ac:dyDescent="0.3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  <c r="O77" t="str">
        <f>IF(Table1[[#This Row],[MEDV]]&lt;=15,"Low",IF(Table1[[#This Row],[MEDV]]&lt;=25,"Mid","High"))</f>
        <v>Mid</v>
      </c>
      <c r="P77" t="str">
        <f>IF(Table1[[#This Row],[CRIM]]&lt;=1,"Low",IF(Table1[[#This Row],[CRIM]]&lt;=10,"Medium","High"))</f>
        <v>Low</v>
      </c>
      <c r="Q77" t="str">
        <f>IF(Table1[[#This Row],[RM]]&lt;=5.5,"Small",IF(Table1[[#This Row],[RM]]&lt;=6.5,"Medium","Large"))</f>
        <v>Medium</v>
      </c>
    </row>
    <row r="78" spans="1:17" x14ac:dyDescent="0.3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  <c r="O78" t="str">
        <f>IF(Table1[[#This Row],[MEDV]]&lt;=15,"Low",IF(Table1[[#This Row],[MEDV]]&lt;=25,"Mid","High"))</f>
        <v>Mid</v>
      </c>
      <c r="P78" t="str">
        <f>IF(Table1[[#This Row],[CRIM]]&lt;=1,"Low",IF(Table1[[#This Row],[CRIM]]&lt;=10,"Medium","High"))</f>
        <v>Low</v>
      </c>
      <c r="Q78" t="str">
        <f>IF(Table1[[#This Row],[RM]]&lt;=5.5,"Small",IF(Table1[[#This Row],[RM]]&lt;=6.5,"Medium","Large"))</f>
        <v>Medium</v>
      </c>
    </row>
    <row r="79" spans="1:17" x14ac:dyDescent="0.3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  <c r="O79" t="str">
        <f>IF(Table1[[#This Row],[MEDV]]&lt;=15,"Low",IF(Table1[[#This Row],[MEDV]]&lt;=25,"Mid","High"))</f>
        <v>Mid</v>
      </c>
      <c r="P79" t="str">
        <f>IF(Table1[[#This Row],[CRIM]]&lt;=1,"Low",IF(Table1[[#This Row],[CRIM]]&lt;=10,"Medium","High"))</f>
        <v>Low</v>
      </c>
      <c r="Q79" t="str">
        <f>IF(Table1[[#This Row],[RM]]&lt;=5.5,"Small",IF(Table1[[#This Row],[RM]]&lt;=6.5,"Medium","Large"))</f>
        <v>Medium</v>
      </c>
    </row>
    <row r="80" spans="1:17" x14ac:dyDescent="0.3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  <c r="O80" t="str">
        <f>IF(Table1[[#This Row],[MEDV]]&lt;=15,"Low",IF(Table1[[#This Row],[MEDV]]&lt;=25,"Mid","High"))</f>
        <v>Mid</v>
      </c>
      <c r="P80" t="str">
        <f>IF(Table1[[#This Row],[CRIM]]&lt;=1,"Low",IF(Table1[[#This Row],[CRIM]]&lt;=10,"Medium","High"))</f>
        <v>Low</v>
      </c>
      <c r="Q80" t="str">
        <f>IF(Table1[[#This Row],[RM]]&lt;=5.5,"Small",IF(Table1[[#This Row],[RM]]&lt;=6.5,"Medium","Large"))</f>
        <v>Medium</v>
      </c>
    </row>
    <row r="81" spans="1:17" x14ac:dyDescent="0.3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  <c r="O81" t="str">
        <f>IF(Table1[[#This Row],[MEDV]]&lt;=15,"Low",IF(Table1[[#This Row],[MEDV]]&lt;=25,"Mid","High"))</f>
        <v>Mid</v>
      </c>
      <c r="P81" t="str">
        <f>IF(Table1[[#This Row],[CRIM]]&lt;=1,"Low",IF(Table1[[#This Row],[CRIM]]&lt;=10,"Medium","High"))</f>
        <v>Low</v>
      </c>
      <c r="Q81" t="str">
        <f>IF(Table1[[#This Row],[RM]]&lt;=5.5,"Small",IF(Table1[[#This Row],[RM]]&lt;=6.5,"Medium","Large"))</f>
        <v>Medium</v>
      </c>
    </row>
    <row r="82" spans="1:17" x14ac:dyDescent="0.3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  <c r="O82" t="str">
        <f>IF(Table1[[#This Row],[MEDV]]&lt;=15,"Low",IF(Table1[[#This Row],[MEDV]]&lt;=25,"Mid","High"))</f>
        <v>High</v>
      </c>
      <c r="P82" t="str">
        <f>IF(Table1[[#This Row],[CRIM]]&lt;=1,"Low",IF(Table1[[#This Row],[CRIM]]&lt;=10,"Medium","High"))</f>
        <v>Low</v>
      </c>
      <c r="Q82" t="str">
        <f>IF(Table1[[#This Row],[RM]]&lt;=5.5,"Small",IF(Table1[[#This Row],[RM]]&lt;=6.5,"Medium","Large"))</f>
        <v>Large</v>
      </c>
    </row>
    <row r="83" spans="1:17" x14ac:dyDescent="0.3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  <c r="O83" t="str">
        <f>IF(Table1[[#This Row],[MEDV]]&lt;=15,"Low",IF(Table1[[#This Row],[MEDV]]&lt;=25,"Mid","High"))</f>
        <v>Mid</v>
      </c>
      <c r="P83" t="str">
        <f>IF(Table1[[#This Row],[CRIM]]&lt;=1,"Low",IF(Table1[[#This Row],[CRIM]]&lt;=10,"Medium","High"))</f>
        <v>Low</v>
      </c>
      <c r="Q83" t="str">
        <f>IF(Table1[[#This Row],[RM]]&lt;=5.5,"Small",IF(Table1[[#This Row],[RM]]&lt;=6.5,"Medium","Large"))</f>
        <v>Large</v>
      </c>
    </row>
    <row r="84" spans="1:17" x14ac:dyDescent="0.3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  <c r="O84" t="str">
        <f>IF(Table1[[#This Row],[MEDV]]&lt;=15,"Low",IF(Table1[[#This Row],[MEDV]]&lt;=25,"Mid","High"))</f>
        <v>Mid</v>
      </c>
      <c r="P84" t="str">
        <f>IF(Table1[[#This Row],[CRIM]]&lt;=1,"Low",IF(Table1[[#This Row],[CRIM]]&lt;=10,"Medium","High"))</f>
        <v>Low</v>
      </c>
      <c r="Q84" t="str">
        <f>IF(Table1[[#This Row],[RM]]&lt;=5.5,"Small",IF(Table1[[#This Row],[RM]]&lt;=6.5,"Medium","Large"))</f>
        <v>Medium</v>
      </c>
    </row>
    <row r="85" spans="1:17" x14ac:dyDescent="0.3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  <c r="O85" t="str">
        <f>IF(Table1[[#This Row],[MEDV]]&lt;=15,"Low",IF(Table1[[#This Row],[MEDV]]&lt;=25,"Mid","High"))</f>
        <v>Mid</v>
      </c>
      <c r="P85" t="str">
        <f>IF(Table1[[#This Row],[CRIM]]&lt;=1,"Low",IF(Table1[[#This Row],[CRIM]]&lt;=10,"Medium","High"))</f>
        <v>Low</v>
      </c>
      <c r="Q85" t="str">
        <f>IF(Table1[[#This Row],[RM]]&lt;=5.5,"Small",IF(Table1[[#This Row],[RM]]&lt;=6.5,"Medium","Large"))</f>
        <v>Medium</v>
      </c>
    </row>
    <row r="86" spans="1:17" x14ac:dyDescent="0.3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  <c r="O86" t="str">
        <f>IF(Table1[[#This Row],[MEDV]]&lt;=15,"Low",IF(Table1[[#This Row],[MEDV]]&lt;=25,"Mid","High"))</f>
        <v>Mid</v>
      </c>
      <c r="P86" t="str">
        <f>IF(Table1[[#This Row],[CRIM]]&lt;=1,"Low",IF(Table1[[#This Row],[CRIM]]&lt;=10,"Medium","High"))</f>
        <v>Low</v>
      </c>
      <c r="Q86" t="str">
        <f>IF(Table1[[#This Row],[RM]]&lt;=5.5,"Small",IF(Table1[[#This Row],[RM]]&lt;=6.5,"Medium","Large"))</f>
        <v>Medium</v>
      </c>
    </row>
    <row r="87" spans="1:17" x14ac:dyDescent="0.3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  <c r="O87" t="str">
        <f>IF(Table1[[#This Row],[MEDV]]&lt;=15,"Low",IF(Table1[[#This Row],[MEDV]]&lt;=25,"Mid","High"))</f>
        <v>High</v>
      </c>
      <c r="P87" t="str">
        <f>IF(Table1[[#This Row],[CRIM]]&lt;=1,"Low",IF(Table1[[#This Row],[CRIM]]&lt;=10,"Medium","High"))</f>
        <v>Low</v>
      </c>
      <c r="Q87" t="str">
        <f>IF(Table1[[#This Row],[RM]]&lt;=5.5,"Small",IF(Table1[[#This Row],[RM]]&lt;=6.5,"Medium","Large"))</f>
        <v>Large</v>
      </c>
    </row>
    <row r="88" spans="1:17" x14ac:dyDescent="0.3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  <c r="O88" t="str">
        <f>IF(Table1[[#This Row],[MEDV]]&lt;=15,"Low",IF(Table1[[#This Row],[MEDV]]&lt;=25,"Mid","High"))</f>
        <v>Mid</v>
      </c>
      <c r="P88" t="str">
        <f>IF(Table1[[#This Row],[CRIM]]&lt;=1,"Low",IF(Table1[[#This Row],[CRIM]]&lt;=10,"Medium","High"))</f>
        <v>Low</v>
      </c>
      <c r="Q88" t="str">
        <f>IF(Table1[[#This Row],[RM]]&lt;=5.5,"Small",IF(Table1[[#This Row],[RM]]&lt;=6.5,"Medium","Large"))</f>
        <v>Medium</v>
      </c>
    </row>
    <row r="89" spans="1:17" x14ac:dyDescent="0.3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  <c r="O89" t="str">
        <f>IF(Table1[[#This Row],[MEDV]]&lt;=15,"Low",IF(Table1[[#This Row],[MEDV]]&lt;=25,"Mid","High"))</f>
        <v>Mid</v>
      </c>
      <c r="P89" t="str">
        <f>IF(Table1[[#This Row],[CRIM]]&lt;=1,"Low",IF(Table1[[#This Row],[CRIM]]&lt;=10,"Medium","High"))</f>
        <v>Low</v>
      </c>
      <c r="Q89" t="str">
        <f>IF(Table1[[#This Row],[RM]]&lt;=5.5,"Small",IF(Table1[[#This Row],[RM]]&lt;=6.5,"Medium","Large"))</f>
        <v>Medium</v>
      </c>
    </row>
    <row r="90" spans="1:17" x14ac:dyDescent="0.3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  <c r="O90" t="str">
        <f>IF(Table1[[#This Row],[MEDV]]&lt;=15,"Low",IF(Table1[[#This Row],[MEDV]]&lt;=25,"Mid","High"))</f>
        <v>Mid</v>
      </c>
      <c r="P90" t="str">
        <f>IF(Table1[[#This Row],[CRIM]]&lt;=1,"Low",IF(Table1[[#This Row],[CRIM]]&lt;=10,"Medium","High"))</f>
        <v>Low</v>
      </c>
      <c r="Q90" t="str">
        <f>IF(Table1[[#This Row],[RM]]&lt;=5.5,"Small",IF(Table1[[#This Row],[RM]]&lt;=6.5,"Medium","Large"))</f>
        <v>Large</v>
      </c>
    </row>
    <row r="91" spans="1:17" x14ac:dyDescent="0.3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  <c r="O91" t="str">
        <f>IF(Table1[[#This Row],[MEDV]]&lt;=15,"Low",IF(Table1[[#This Row],[MEDV]]&lt;=25,"Mid","High"))</f>
        <v>High</v>
      </c>
      <c r="P91" t="str">
        <f>IF(Table1[[#This Row],[CRIM]]&lt;=1,"Low",IF(Table1[[#This Row],[CRIM]]&lt;=10,"Medium","High"))</f>
        <v>Low</v>
      </c>
      <c r="Q91" t="str">
        <f>IF(Table1[[#This Row],[RM]]&lt;=5.5,"Small",IF(Table1[[#This Row],[RM]]&lt;=6.5,"Medium","Large"))</f>
        <v>Large</v>
      </c>
    </row>
    <row r="92" spans="1:17" x14ac:dyDescent="0.3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  <c r="O92" t="str">
        <f>IF(Table1[[#This Row],[MEDV]]&lt;=15,"Low",IF(Table1[[#This Row],[MEDV]]&lt;=25,"Mid","High"))</f>
        <v>Mid</v>
      </c>
      <c r="P92" t="str">
        <f>IF(Table1[[#This Row],[CRIM]]&lt;=1,"Low",IF(Table1[[#This Row],[CRIM]]&lt;=10,"Medium","High"))</f>
        <v>Low</v>
      </c>
      <c r="Q92" t="str">
        <f>IF(Table1[[#This Row],[RM]]&lt;=5.5,"Small",IF(Table1[[#This Row],[RM]]&lt;=6.5,"Medium","Large"))</f>
        <v>Medium</v>
      </c>
    </row>
    <row r="93" spans="1:17" x14ac:dyDescent="0.3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  <c r="O93" t="str">
        <f>IF(Table1[[#This Row],[MEDV]]&lt;=15,"Low",IF(Table1[[#This Row],[MEDV]]&lt;=25,"Mid","High"))</f>
        <v>Mid</v>
      </c>
      <c r="P93" t="str">
        <f>IF(Table1[[#This Row],[CRIM]]&lt;=1,"Low",IF(Table1[[#This Row],[CRIM]]&lt;=10,"Medium","High"))</f>
        <v>Low</v>
      </c>
      <c r="Q93" t="str">
        <f>IF(Table1[[#This Row],[RM]]&lt;=5.5,"Small",IF(Table1[[#This Row],[RM]]&lt;=6.5,"Medium","Large"))</f>
        <v>Medium</v>
      </c>
    </row>
    <row r="94" spans="1:17" x14ac:dyDescent="0.3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  <c r="O94" t="str">
        <f>IF(Table1[[#This Row],[MEDV]]&lt;=15,"Low",IF(Table1[[#This Row],[MEDV]]&lt;=25,"Mid","High"))</f>
        <v>Mid</v>
      </c>
      <c r="P94" t="str">
        <f>IF(Table1[[#This Row],[CRIM]]&lt;=1,"Low",IF(Table1[[#This Row],[CRIM]]&lt;=10,"Medium","High"))</f>
        <v>Low</v>
      </c>
      <c r="Q94" t="str">
        <f>IF(Table1[[#This Row],[RM]]&lt;=5.5,"Small",IF(Table1[[#This Row],[RM]]&lt;=6.5,"Medium","Large"))</f>
        <v>Medium</v>
      </c>
    </row>
    <row r="95" spans="1:17" x14ac:dyDescent="0.3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  <c r="O95" t="str">
        <f>IF(Table1[[#This Row],[MEDV]]&lt;=15,"Low",IF(Table1[[#This Row],[MEDV]]&lt;=25,"Mid","High"))</f>
        <v>Mid</v>
      </c>
      <c r="P95" t="str">
        <f>IF(Table1[[#This Row],[CRIM]]&lt;=1,"Low",IF(Table1[[#This Row],[CRIM]]&lt;=10,"Medium","High"))</f>
        <v>Low</v>
      </c>
      <c r="Q95" t="str">
        <f>IF(Table1[[#This Row],[RM]]&lt;=5.5,"Small",IF(Table1[[#This Row],[RM]]&lt;=6.5,"Medium","Large"))</f>
        <v>Medium</v>
      </c>
    </row>
    <row r="96" spans="1:17" x14ac:dyDescent="0.3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  <c r="O96" t="str">
        <f>IF(Table1[[#This Row],[MEDV]]&lt;=15,"Low",IF(Table1[[#This Row],[MEDV]]&lt;=25,"Mid","High"))</f>
        <v>Mid</v>
      </c>
      <c r="P96" t="str">
        <f>IF(Table1[[#This Row],[CRIM]]&lt;=1,"Low",IF(Table1[[#This Row],[CRIM]]&lt;=10,"Medium","High"))</f>
        <v>Low</v>
      </c>
      <c r="Q96" t="str">
        <f>IF(Table1[[#This Row],[RM]]&lt;=5.5,"Small",IF(Table1[[#This Row],[RM]]&lt;=6.5,"Medium","Large"))</f>
        <v>Medium</v>
      </c>
    </row>
    <row r="97" spans="1:17" x14ac:dyDescent="0.3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  <c r="O97" t="str">
        <f>IF(Table1[[#This Row],[MEDV]]&lt;=15,"Low",IF(Table1[[#This Row],[MEDV]]&lt;=25,"Mid","High"))</f>
        <v>High</v>
      </c>
      <c r="P97" t="str">
        <f>IF(Table1[[#This Row],[CRIM]]&lt;=1,"Low",IF(Table1[[#This Row],[CRIM]]&lt;=10,"Medium","High"))</f>
        <v>Low</v>
      </c>
      <c r="Q97" t="str">
        <f>IF(Table1[[#This Row],[RM]]&lt;=5.5,"Small",IF(Table1[[#This Row],[RM]]&lt;=6.5,"Medium","Large"))</f>
        <v>Large</v>
      </c>
    </row>
    <row r="98" spans="1:17" x14ac:dyDescent="0.3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  <c r="O98" t="str">
        <f>IF(Table1[[#This Row],[MEDV]]&lt;=15,"Low",IF(Table1[[#This Row],[MEDV]]&lt;=25,"Mid","High"))</f>
        <v>Mid</v>
      </c>
      <c r="P98" t="str">
        <f>IF(Table1[[#This Row],[CRIM]]&lt;=1,"Low",IF(Table1[[#This Row],[CRIM]]&lt;=10,"Medium","High"))</f>
        <v>Low</v>
      </c>
      <c r="Q98" t="str">
        <f>IF(Table1[[#This Row],[RM]]&lt;=5.5,"Small",IF(Table1[[#This Row],[RM]]&lt;=6.5,"Medium","Large"))</f>
        <v>Medium</v>
      </c>
    </row>
    <row r="99" spans="1:17" x14ac:dyDescent="0.3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  <c r="O99" t="str">
        <f>IF(Table1[[#This Row],[MEDV]]&lt;=15,"Low",IF(Table1[[#This Row],[MEDV]]&lt;=25,"Mid","High"))</f>
        <v>High</v>
      </c>
      <c r="P99" t="str">
        <f>IF(Table1[[#This Row],[CRIM]]&lt;=1,"Low",IF(Table1[[#This Row],[CRIM]]&lt;=10,"Medium","High"))</f>
        <v>Low</v>
      </c>
      <c r="Q99" t="str">
        <f>IF(Table1[[#This Row],[RM]]&lt;=5.5,"Small",IF(Table1[[#This Row],[RM]]&lt;=6.5,"Medium","Large"))</f>
        <v>Large</v>
      </c>
    </row>
    <row r="100" spans="1:17" x14ac:dyDescent="0.3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  <c r="O100" t="str">
        <f>IF(Table1[[#This Row],[MEDV]]&lt;=15,"Low",IF(Table1[[#This Row],[MEDV]]&lt;=25,"Mid","High"))</f>
        <v>High</v>
      </c>
      <c r="P100" t="str">
        <f>IF(Table1[[#This Row],[CRIM]]&lt;=1,"Low",IF(Table1[[#This Row],[CRIM]]&lt;=10,"Medium","High"))</f>
        <v>Low</v>
      </c>
      <c r="Q100" t="str">
        <f>IF(Table1[[#This Row],[RM]]&lt;=5.5,"Small",IF(Table1[[#This Row],[RM]]&lt;=6.5,"Medium","Large"))</f>
        <v>Large</v>
      </c>
    </row>
    <row r="101" spans="1:17" x14ac:dyDescent="0.3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  <c r="O101" t="str">
        <f>IF(Table1[[#This Row],[MEDV]]&lt;=15,"Low",IF(Table1[[#This Row],[MEDV]]&lt;=25,"Mid","High"))</f>
        <v>High</v>
      </c>
      <c r="P101" t="str">
        <f>IF(Table1[[#This Row],[CRIM]]&lt;=1,"Low",IF(Table1[[#This Row],[CRIM]]&lt;=10,"Medium","High"))</f>
        <v>Low</v>
      </c>
      <c r="Q101" t="str">
        <f>IF(Table1[[#This Row],[RM]]&lt;=5.5,"Small",IF(Table1[[#This Row],[RM]]&lt;=6.5,"Medium","Large"))</f>
        <v>Large</v>
      </c>
    </row>
    <row r="102" spans="1:17" x14ac:dyDescent="0.3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  <c r="O102" t="str">
        <f>IF(Table1[[#This Row],[MEDV]]&lt;=15,"Low",IF(Table1[[#This Row],[MEDV]]&lt;=25,"Mid","High"))</f>
        <v>High</v>
      </c>
      <c r="P102" t="str">
        <f>IF(Table1[[#This Row],[CRIM]]&lt;=1,"Low",IF(Table1[[#This Row],[CRIM]]&lt;=10,"Medium","High"))</f>
        <v>Low</v>
      </c>
      <c r="Q102" t="str">
        <f>IF(Table1[[#This Row],[RM]]&lt;=5.5,"Small",IF(Table1[[#This Row],[RM]]&lt;=6.5,"Medium","Large"))</f>
        <v>Large</v>
      </c>
    </row>
    <row r="103" spans="1:17" x14ac:dyDescent="0.3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  <c r="O103" t="str">
        <f>IF(Table1[[#This Row],[MEDV]]&lt;=15,"Low",IF(Table1[[#This Row],[MEDV]]&lt;=25,"Mid","High"))</f>
        <v>High</v>
      </c>
      <c r="P103" t="str">
        <f>IF(Table1[[#This Row],[CRIM]]&lt;=1,"Low",IF(Table1[[#This Row],[CRIM]]&lt;=10,"Medium","High"))</f>
        <v>Low</v>
      </c>
      <c r="Q103" t="str">
        <f>IF(Table1[[#This Row],[RM]]&lt;=5.5,"Small",IF(Table1[[#This Row],[RM]]&lt;=6.5,"Medium","Large"))</f>
        <v>Large</v>
      </c>
    </row>
    <row r="104" spans="1:17" x14ac:dyDescent="0.3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  <c r="O104" t="str">
        <f>IF(Table1[[#This Row],[MEDV]]&lt;=15,"Low",IF(Table1[[#This Row],[MEDV]]&lt;=25,"Mid","High"))</f>
        <v>Mid</v>
      </c>
      <c r="P104" t="str">
        <f>IF(Table1[[#This Row],[CRIM]]&lt;=1,"Low",IF(Table1[[#This Row],[CRIM]]&lt;=10,"Medium","High"))</f>
        <v>Low</v>
      </c>
      <c r="Q104" t="str">
        <f>IF(Table1[[#This Row],[RM]]&lt;=5.5,"Small",IF(Table1[[#This Row],[RM]]&lt;=6.5,"Medium","Large"))</f>
        <v>Medium</v>
      </c>
    </row>
    <row r="105" spans="1:17" x14ac:dyDescent="0.3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  <c r="O105" t="str">
        <f>IF(Table1[[#This Row],[MEDV]]&lt;=15,"Low",IF(Table1[[#This Row],[MEDV]]&lt;=25,"Mid","High"))</f>
        <v>Mid</v>
      </c>
      <c r="P105" t="str">
        <f>IF(Table1[[#This Row],[CRIM]]&lt;=1,"Low",IF(Table1[[#This Row],[CRIM]]&lt;=10,"Medium","High"))</f>
        <v>Low</v>
      </c>
      <c r="Q105" t="str">
        <f>IF(Table1[[#This Row],[RM]]&lt;=5.5,"Small",IF(Table1[[#This Row],[RM]]&lt;=6.5,"Medium","Large"))</f>
        <v>Medium</v>
      </c>
    </row>
    <row r="106" spans="1:17" x14ac:dyDescent="0.3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  <c r="O106" t="str">
        <f>IF(Table1[[#This Row],[MEDV]]&lt;=15,"Low",IF(Table1[[#This Row],[MEDV]]&lt;=25,"Mid","High"))</f>
        <v>Mid</v>
      </c>
      <c r="P106" t="str">
        <f>IF(Table1[[#This Row],[CRIM]]&lt;=1,"Low",IF(Table1[[#This Row],[CRIM]]&lt;=10,"Medium","High"))</f>
        <v>Low</v>
      </c>
      <c r="Q106" t="str">
        <f>IF(Table1[[#This Row],[RM]]&lt;=5.5,"Small",IF(Table1[[#This Row],[RM]]&lt;=6.5,"Medium","Large"))</f>
        <v>Medium</v>
      </c>
    </row>
    <row r="107" spans="1:17" x14ac:dyDescent="0.3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  <c r="O107" t="str">
        <f>IF(Table1[[#This Row],[MEDV]]&lt;=15,"Low",IF(Table1[[#This Row],[MEDV]]&lt;=25,"Mid","High"))</f>
        <v>Mid</v>
      </c>
      <c r="P107" t="str">
        <f>IF(Table1[[#This Row],[CRIM]]&lt;=1,"Low",IF(Table1[[#This Row],[CRIM]]&lt;=10,"Medium","High"))</f>
        <v>Low</v>
      </c>
      <c r="Q107" t="str">
        <f>IF(Table1[[#This Row],[RM]]&lt;=5.5,"Small",IF(Table1[[#This Row],[RM]]&lt;=6.5,"Medium","Large"))</f>
        <v>Medium</v>
      </c>
    </row>
    <row r="108" spans="1:17" x14ac:dyDescent="0.3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  <c r="O108" t="str">
        <f>IF(Table1[[#This Row],[MEDV]]&lt;=15,"Low",IF(Table1[[#This Row],[MEDV]]&lt;=25,"Mid","High"))</f>
        <v>Mid</v>
      </c>
      <c r="P108" t="str">
        <f>IF(Table1[[#This Row],[CRIM]]&lt;=1,"Low",IF(Table1[[#This Row],[CRIM]]&lt;=10,"Medium","High"))</f>
        <v>Low</v>
      </c>
      <c r="Q108" t="str">
        <f>IF(Table1[[#This Row],[RM]]&lt;=5.5,"Small",IF(Table1[[#This Row],[RM]]&lt;=6.5,"Medium","Large"))</f>
        <v>Medium</v>
      </c>
    </row>
    <row r="109" spans="1:17" x14ac:dyDescent="0.3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  <c r="O109" t="str">
        <f>IF(Table1[[#This Row],[MEDV]]&lt;=15,"Low",IF(Table1[[#This Row],[MEDV]]&lt;=25,"Mid","High"))</f>
        <v>Mid</v>
      </c>
      <c r="P109" t="str">
        <f>IF(Table1[[#This Row],[CRIM]]&lt;=1,"Low",IF(Table1[[#This Row],[CRIM]]&lt;=10,"Medium","High"))</f>
        <v>Low</v>
      </c>
      <c r="Q109" t="str">
        <f>IF(Table1[[#This Row],[RM]]&lt;=5.5,"Small",IF(Table1[[#This Row],[RM]]&lt;=6.5,"Medium","Large"))</f>
        <v>Medium</v>
      </c>
    </row>
    <row r="110" spans="1:17" x14ac:dyDescent="0.3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  <c r="O110" t="str">
        <f>IF(Table1[[#This Row],[MEDV]]&lt;=15,"Low",IF(Table1[[#This Row],[MEDV]]&lt;=25,"Mid","High"))</f>
        <v>Mid</v>
      </c>
      <c r="P110" t="str">
        <f>IF(Table1[[#This Row],[CRIM]]&lt;=1,"Low",IF(Table1[[#This Row],[CRIM]]&lt;=10,"Medium","High"))</f>
        <v>Low</v>
      </c>
      <c r="Q110" t="str">
        <f>IF(Table1[[#This Row],[RM]]&lt;=5.5,"Small",IF(Table1[[#This Row],[RM]]&lt;=6.5,"Medium","Large"))</f>
        <v>Medium</v>
      </c>
    </row>
    <row r="111" spans="1:17" x14ac:dyDescent="0.3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  <c r="O111" t="str">
        <f>IF(Table1[[#This Row],[MEDV]]&lt;=15,"Low",IF(Table1[[#This Row],[MEDV]]&lt;=25,"Mid","High"))</f>
        <v>Mid</v>
      </c>
      <c r="P111" t="str">
        <f>IF(Table1[[#This Row],[CRIM]]&lt;=1,"Low",IF(Table1[[#This Row],[CRIM]]&lt;=10,"Medium","High"))</f>
        <v>Low</v>
      </c>
      <c r="Q111" t="str">
        <f>IF(Table1[[#This Row],[RM]]&lt;=5.5,"Small",IF(Table1[[#This Row],[RM]]&lt;=6.5,"Medium","Large"))</f>
        <v>Medium</v>
      </c>
    </row>
    <row r="112" spans="1:17" x14ac:dyDescent="0.3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  <c r="O112" t="str">
        <f>IF(Table1[[#This Row],[MEDV]]&lt;=15,"Low",IF(Table1[[#This Row],[MEDV]]&lt;=25,"Mid","High"))</f>
        <v>Mid</v>
      </c>
      <c r="P112" t="str">
        <f>IF(Table1[[#This Row],[CRIM]]&lt;=1,"Low",IF(Table1[[#This Row],[CRIM]]&lt;=10,"Medium","High"))</f>
        <v>Low</v>
      </c>
      <c r="Q112" t="str">
        <f>IF(Table1[[#This Row],[RM]]&lt;=5.5,"Small",IF(Table1[[#This Row],[RM]]&lt;=6.5,"Medium","Large"))</f>
        <v>Medium</v>
      </c>
    </row>
    <row r="113" spans="1:17" x14ac:dyDescent="0.3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  <c r="O113" t="str">
        <f>IF(Table1[[#This Row],[MEDV]]&lt;=15,"Low",IF(Table1[[#This Row],[MEDV]]&lt;=25,"Mid","High"))</f>
        <v>Mid</v>
      </c>
      <c r="P113" t="str">
        <f>IF(Table1[[#This Row],[CRIM]]&lt;=1,"Low",IF(Table1[[#This Row],[CRIM]]&lt;=10,"Medium","High"))</f>
        <v>Low</v>
      </c>
      <c r="Q113" t="str">
        <f>IF(Table1[[#This Row],[RM]]&lt;=5.5,"Small",IF(Table1[[#This Row],[RM]]&lt;=6.5,"Medium","Large"))</f>
        <v>Large</v>
      </c>
    </row>
    <row r="114" spans="1:17" x14ac:dyDescent="0.3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  <c r="O114" t="str">
        <f>IF(Table1[[#This Row],[MEDV]]&lt;=15,"Low",IF(Table1[[#This Row],[MEDV]]&lt;=25,"Mid","High"))</f>
        <v>Mid</v>
      </c>
      <c r="P114" t="str">
        <f>IF(Table1[[#This Row],[CRIM]]&lt;=1,"Low",IF(Table1[[#This Row],[CRIM]]&lt;=10,"Medium","High"))</f>
        <v>Low</v>
      </c>
      <c r="Q114" t="str">
        <f>IF(Table1[[#This Row],[RM]]&lt;=5.5,"Small",IF(Table1[[#This Row],[RM]]&lt;=6.5,"Medium","Large"))</f>
        <v>Medium</v>
      </c>
    </row>
    <row r="115" spans="1:17" x14ac:dyDescent="0.3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  <c r="O115" t="str">
        <f>IF(Table1[[#This Row],[MEDV]]&lt;=15,"Low",IF(Table1[[#This Row],[MEDV]]&lt;=25,"Mid","High"))</f>
        <v>Mid</v>
      </c>
      <c r="P115" t="str">
        <f>IF(Table1[[#This Row],[CRIM]]&lt;=1,"Low",IF(Table1[[#This Row],[CRIM]]&lt;=10,"Medium","High"))</f>
        <v>Low</v>
      </c>
      <c r="Q115" t="str">
        <f>IF(Table1[[#This Row],[RM]]&lt;=5.5,"Small",IF(Table1[[#This Row],[RM]]&lt;=6.5,"Medium","Large"))</f>
        <v>Medium</v>
      </c>
    </row>
    <row r="116" spans="1:17" x14ac:dyDescent="0.3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  <c r="O116" t="str">
        <f>IF(Table1[[#This Row],[MEDV]]&lt;=15,"Low",IF(Table1[[#This Row],[MEDV]]&lt;=25,"Mid","High"))</f>
        <v>Mid</v>
      </c>
      <c r="P116" t="str">
        <f>IF(Table1[[#This Row],[CRIM]]&lt;=1,"Low",IF(Table1[[#This Row],[CRIM]]&lt;=10,"Medium","High"))</f>
        <v>Low</v>
      </c>
      <c r="Q116" t="str">
        <f>IF(Table1[[#This Row],[RM]]&lt;=5.5,"Small",IF(Table1[[#This Row],[RM]]&lt;=6.5,"Medium","Large"))</f>
        <v>Medium</v>
      </c>
    </row>
    <row r="117" spans="1:17" x14ac:dyDescent="0.3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  <c r="O117" t="str">
        <f>IF(Table1[[#This Row],[MEDV]]&lt;=15,"Low",IF(Table1[[#This Row],[MEDV]]&lt;=25,"Mid","High"))</f>
        <v>Mid</v>
      </c>
      <c r="P117" t="str">
        <f>IF(Table1[[#This Row],[CRIM]]&lt;=1,"Low",IF(Table1[[#This Row],[CRIM]]&lt;=10,"Medium","High"))</f>
        <v>Low</v>
      </c>
      <c r="Q117" t="str">
        <f>IF(Table1[[#This Row],[RM]]&lt;=5.5,"Small",IF(Table1[[#This Row],[RM]]&lt;=6.5,"Medium","Large"))</f>
        <v>Medium</v>
      </c>
    </row>
    <row r="118" spans="1:17" x14ac:dyDescent="0.3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  <c r="O118" t="str">
        <f>IF(Table1[[#This Row],[MEDV]]&lt;=15,"Low",IF(Table1[[#This Row],[MEDV]]&lt;=25,"Mid","High"))</f>
        <v>Mid</v>
      </c>
      <c r="P118" t="str">
        <f>IF(Table1[[#This Row],[CRIM]]&lt;=1,"Low",IF(Table1[[#This Row],[CRIM]]&lt;=10,"Medium","High"))</f>
        <v>Low</v>
      </c>
      <c r="Q118" t="str">
        <f>IF(Table1[[#This Row],[RM]]&lt;=5.5,"Small",IF(Table1[[#This Row],[RM]]&lt;=6.5,"Medium","Large"))</f>
        <v>Medium</v>
      </c>
    </row>
    <row r="119" spans="1:17" x14ac:dyDescent="0.3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  <c r="O119" t="str">
        <f>IF(Table1[[#This Row],[MEDV]]&lt;=15,"Low",IF(Table1[[#This Row],[MEDV]]&lt;=25,"Mid","High"))</f>
        <v>Mid</v>
      </c>
      <c r="P119" t="str">
        <f>IF(Table1[[#This Row],[CRIM]]&lt;=1,"Low",IF(Table1[[#This Row],[CRIM]]&lt;=10,"Medium","High"))</f>
        <v>Low</v>
      </c>
      <c r="Q119" t="str">
        <f>IF(Table1[[#This Row],[RM]]&lt;=5.5,"Small",IF(Table1[[#This Row],[RM]]&lt;=6.5,"Medium","Large"))</f>
        <v>Medium</v>
      </c>
    </row>
    <row r="120" spans="1:17" x14ac:dyDescent="0.3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  <c r="O120" t="str">
        <f>IF(Table1[[#This Row],[MEDV]]&lt;=15,"Low",IF(Table1[[#This Row],[MEDV]]&lt;=25,"Mid","High"))</f>
        <v>Mid</v>
      </c>
      <c r="P120" t="str">
        <f>IF(Table1[[#This Row],[CRIM]]&lt;=1,"Low",IF(Table1[[#This Row],[CRIM]]&lt;=10,"Medium","High"))</f>
        <v>Low</v>
      </c>
      <c r="Q120" t="str">
        <f>IF(Table1[[#This Row],[RM]]&lt;=5.5,"Small",IF(Table1[[#This Row],[RM]]&lt;=6.5,"Medium","Large"))</f>
        <v>Medium</v>
      </c>
    </row>
    <row r="121" spans="1:17" x14ac:dyDescent="0.3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  <c r="O121" t="str">
        <f>IF(Table1[[#This Row],[MEDV]]&lt;=15,"Low",IF(Table1[[#This Row],[MEDV]]&lt;=25,"Mid","High"))</f>
        <v>Mid</v>
      </c>
      <c r="P121" t="str">
        <f>IF(Table1[[#This Row],[CRIM]]&lt;=1,"Low",IF(Table1[[#This Row],[CRIM]]&lt;=10,"Medium","High"))</f>
        <v>Low</v>
      </c>
      <c r="Q121" t="str">
        <f>IF(Table1[[#This Row],[RM]]&lt;=5.5,"Small",IF(Table1[[#This Row],[RM]]&lt;=6.5,"Medium","Large"))</f>
        <v>Medium</v>
      </c>
    </row>
    <row r="122" spans="1:17" x14ac:dyDescent="0.3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  <c r="O122" t="str">
        <f>IF(Table1[[#This Row],[MEDV]]&lt;=15,"Low",IF(Table1[[#This Row],[MEDV]]&lt;=25,"Mid","High"))</f>
        <v>Mid</v>
      </c>
      <c r="P122" t="str">
        <f>IF(Table1[[#This Row],[CRIM]]&lt;=1,"Low",IF(Table1[[#This Row],[CRIM]]&lt;=10,"Medium","High"))</f>
        <v>Low</v>
      </c>
      <c r="Q122" t="str">
        <f>IF(Table1[[#This Row],[RM]]&lt;=5.5,"Small",IF(Table1[[#This Row],[RM]]&lt;=6.5,"Medium","Large"))</f>
        <v>Medium</v>
      </c>
    </row>
    <row r="123" spans="1:17" x14ac:dyDescent="0.3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  <c r="O123" t="str">
        <f>IF(Table1[[#This Row],[MEDV]]&lt;=15,"Low",IF(Table1[[#This Row],[MEDV]]&lt;=25,"Mid","High"))</f>
        <v>Mid</v>
      </c>
      <c r="P123" t="str">
        <f>IF(Table1[[#This Row],[CRIM]]&lt;=1,"Low",IF(Table1[[#This Row],[CRIM]]&lt;=10,"Medium","High"))</f>
        <v>Low</v>
      </c>
      <c r="Q123" t="str">
        <f>IF(Table1[[#This Row],[RM]]&lt;=5.5,"Small",IF(Table1[[#This Row],[RM]]&lt;=6.5,"Medium","Large"))</f>
        <v>Medium</v>
      </c>
    </row>
    <row r="124" spans="1:17" x14ac:dyDescent="0.3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  <c r="O124" t="str">
        <f>IF(Table1[[#This Row],[MEDV]]&lt;=15,"Low",IF(Table1[[#This Row],[MEDV]]&lt;=25,"Mid","High"))</f>
        <v>Mid</v>
      </c>
      <c r="P124" t="str">
        <f>IF(Table1[[#This Row],[CRIM]]&lt;=1,"Low",IF(Table1[[#This Row],[CRIM]]&lt;=10,"Medium","High"))</f>
        <v>Low</v>
      </c>
      <c r="Q124" t="str">
        <f>IF(Table1[[#This Row],[RM]]&lt;=5.5,"Small",IF(Table1[[#This Row],[RM]]&lt;=6.5,"Medium","Large"))</f>
        <v>Medium</v>
      </c>
    </row>
    <row r="125" spans="1:17" x14ac:dyDescent="0.3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  <c r="O125" t="str">
        <f>IF(Table1[[#This Row],[MEDV]]&lt;=15,"Low",IF(Table1[[#This Row],[MEDV]]&lt;=25,"Mid","High"))</f>
        <v>Mid</v>
      </c>
      <c r="P125" t="str">
        <f>IF(Table1[[#This Row],[CRIM]]&lt;=1,"Low",IF(Table1[[#This Row],[CRIM]]&lt;=10,"Medium","High"))</f>
        <v>Low</v>
      </c>
      <c r="Q125" t="str">
        <f>IF(Table1[[#This Row],[RM]]&lt;=5.5,"Small",IF(Table1[[#This Row],[RM]]&lt;=6.5,"Medium","Large"))</f>
        <v>Medium</v>
      </c>
    </row>
    <row r="126" spans="1:17" x14ac:dyDescent="0.3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  <c r="O126" t="str">
        <f>IF(Table1[[#This Row],[MEDV]]&lt;=15,"Low",IF(Table1[[#This Row],[MEDV]]&lt;=25,"Mid","High"))</f>
        <v>Mid</v>
      </c>
      <c r="P126" t="str">
        <f>IF(Table1[[#This Row],[CRIM]]&lt;=1,"Low",IF(Table1[[#This Row],[CRIM]]&lt;=10,"Medium","High"))</f>
        <v>Low</v>
      </c>
      <c r="Q126" t="str">
        <f>IF(Table1[[#This Row],[RM]]&lt;=5.5,"Small",IF(Table1[[#This Row],[RM]]&lt;=6.5,"Medium","Large"))</f>
        <v>Medium</v>
      </c>
    </row>
    <row r="127" spans="1:17" x14ac:dyDescent="0.3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  <c r="O127" t="str">
        <f>IF(Table1[[#This Row],[MEDV]]&lt;=15,"Low",IF(Table1[[#This Row],[MEDV]]&lt;=25,"Mid","High"))</f>
        <v>Mid</v>
      </c>
      <c r="P127" t="str">
        <f>IF(Table1[[#This Row],[CRIM]]&lt;=1,"Low",IF(Table1[[#This Row],[CRIM]]&lt;=10,"Medium","High"))</f>
        <v>Low</v>
      </c>
      <c r="Q127" t="str">
        <f>IF(Table1[[#This Row],[RM]]&lt;=5.5,"Small",IF(Table1[[#This Row],[RM]]&lt;=6.5,"Medium","Large"))</f>
        <v>Medium</v>
      </c>
    </row>
    <row r="128" spans="1:17" x14ac:dyDescent="0.3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  <c r="O128" t="str">
        <f>IF(Table1[[#This Row],[MEDV]]&lt;=15,"Low",IF(Table1[[#This Row],[MEDV]]&lt;=25,"Mid","High"))</f>
        <v>Mid</v>
      </c>
      <c r="P128" t="str">
        <f>IF(Table1[[#This Row],[CRIM]]&lt;=1,"Low",IF(Table1[[#This Row],[CRIM]]&lt;=10,"Medium","High"))</f>
        <v>Low</v>
      </c>
      <c r="Q128" t="str">
        <f>IF(Table1[[#This Row],[RM]]&lt;=5.5,"Small",IF(Table1[[#This Row],[RM]]&lt;=6.5,"Medium","Large"))</f>
        <v>Medium</v>
      </c>
    </row>
    <row r="129" spans="1:17" x14ac:dyDescent="0.3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  <c r="O129" t="str">
        <f>IF(Table1[[#This Row],[MEDV]]&lt;=15,"Low",IF(Table1[[#This Row],[MEDV]]&lt;=25,"Mid","High"))</f>
        <v>Mid</v>
      </c>
      <c r="P129" t="str">
        <f>IF(Table1[[#This Row],[CRIM]]&lt;=1,"Low",IF(Table1[[#This Row],[CRIM]]&lt;=10,"Medium","High"))</f>
        <v>Low</v>
      </c>
      <c r="Q129" t="str">
        <f>IF(Table1[[#This Row],[RM]]&lt;=5.5,"Small",IF(Table1[[#This Row],[RM]]&lt;=6.5,"Medium","Large"))</f>
        <v>Medium</v>
      </c>
    </row>
    <row r="130" spans="1:17" x14ac:dyDescent="0.3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  <c r="O130" t="str">
        <f>IF(Table1[[#This Row],[MEDV]]&lt;=15,"Low",IF(Table1[[#This Row],[MEDV]]&lt;=25,"Mid","High"))</f>
        <v>Mid</v>
      </c>
      <c r="P130" t="str">
        <f>IF(Table1[[#This Row],[CRIM]]&lt;=1,"Low",IF(Table1[[#This Row],[CRIM]]&lt;=10,"Medium","High"))</f>
        <v>Low</v>
      </c>
      <c r="Q130" t="str">
        <f>IF(Table1[[#This Row],[RM]]&lt;=5.5,"Small",IF(Table1[[#This Row],[RM]]&lt;=6.5,"Medium","Large"))</f>
        <v>Medium</v>
      </c>
    </row>
    <row r="131" spans="1:17" x14ac:dyDescent="0.3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  <c r="O131" t="str">
        <f>IF(Table1[[#This Row],[MEDV]]&lt;=15,"Low",IF(Table1[[#This Row],[MEDV]]&lt;=25,"Mid","High"))</f>
        <v>Low</v>
      </c>
      <c r="P131" t="str">
        <f>IF(Table1[[#This Row],[CRIM]]&lt;=1,"Low",IF(Table1[[#This Row],[CRIM]]&lt;=10,"Medium","High"))</f>
        <v>Low</v>
      </c>
      <c r="Q131" t="str">
        <f>IF(Table1[[#This Row],[RM]]&lt;=5.5,"Small",IF(Table1[[#This Row],[RM]]&lt;=6.5,"Medium","Large"))</f>
        <v>Medium</v>
      </c>
    </row>
    <row r="132" spans="1:17" x14ac:dyDescent="0.3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  <c r="O132" t="str">
        <f>IF(Table1[[#This Row],[MEDV]]&lt;=15,"Low",IF(Table1[[#This Row],[MEDV]]&lt;=25,"Mid","High"))</f>
        <v>Mid</v>
      </c>
      <c r="P132" t="str">
        <f>IF(Table1[[#This Row],[CRIM]]&lt;=1,"Low",IF(Table1[[#This Row],[CRIM]]&lt;=10,"Medium","High"))</f>
        <v>Low</v>
      </c>
      <c r="Q132" t="str">
        <f>IF(Table1[[#This Row],[RM]]&lt;=5.5,"Small",IF(Table1[[#This Row],[RM]]&lt;=6.5,"Medium","Large"))</f>
        <v>Medium</v>
      </c>
    </row>
    <row r="133" spans="1:17" x14ac:dyDescent="0.3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  <c r="O133" t="str">
        <f>IF(Table1[[#This Row],[MEDV]]&lt;=15,"Low",IF(Table1[[#This Row],[MEDV]]&lt;=25,"Mid","High"))</f>
        <v>Mid</v>
      </c>
      <c r="P133" t="str">
        <f>IF(Table1[[#This Row],[CRIM]]&lt;=1,"Low",IF(Table1[[#This Row],[CRIM]]&lt;=10,"Medium","High"))</f>
        <v>Medium</v>
      </c>
      <c r="Q133" t="str">
        <f>IF(Table1[[#This Row],[RM]]&lt;=5.5,"Small",IF(Table1[[#This Row],[RM]]&lt;=6.5,"Medium","Large"))</f>
        <v>Medium</v>
      </c>
    </row>
    <row r="134" spans="1:17" x14ac:dyDescent="0.3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  <c r="O134" t="str">
        <f>IF(Table1[[#This Row],[MEDV]]&lt;=15,"Low",IF(Table1[[#This Row],[MEDV]]&lt;=25,"Mid","High"))</f>
        <v>Mid</v>
      </c>
      <c r="P134" t="str">
        <f>IF(Table1[[#This Row],[CRIM]]&lt;=1,"Low",IF(Table1[[#This Row],[CRIM]]&lt;=10,"Medium","High"))</f>
        <v>Low</v>
      </c>
      <c r="Q134" t="str">
        <f>IF(Table1[[#This Row],[RM]]&lt;=5.5,"Small",IF(Table1[[#This Row],[RM]]&lt;=6.5,"Medium","Large"))</f>
        <v>Medium</v>
      </c>
    </row>
    <row r="135" spans="1:17" x14ac:dyDescent="0.3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  <c r="O135" t="str">
        <f>IF(Table1[[#This Row],[MEDV]]&lt;=15,"Low",IF(Table1[[#This Row],[MEDV]]&lt;=25,"Mid","High"))</f>
        <v>Mid</v>
      </c>
      <c r="P135" t="str">
        <f>IF(Table1[[#This Row],[CRIM]]&lt;=1,"Low",IF(Table1[[#This Row],[CRIM]]&lt;=10,"Medium","High"))</f>
        <v>Low</v>
      </c>
      <c r="Q135" t="str">
        <f>IF(Table1[[#This Row],[RM]]&lt;=5.5,"Small",IF(Table1[[#This Row],[RM]]&lt;=6.5,"Medium","Large"))</f>
        <v>Medium</v>
      </c>
    </row>
    <row r="136" spans="1:17" x14ac:dyDescent="0.3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  <c r="O136" t="str">
        <f>IF(Table1[[#This Row],[MEDV]]&lt;=15,"Low",IF(Table1[[#This Row],[MEDV]]&lt;=25,"Mid","High"))</f>
        <v>Mid</v>
      </c>
      <c r="P136" t="str">
        <f>IF(Table1[[#This Row],[CRIM]]&lt;=1,"Low",IF(Table1[[#This Row],[CRIM]]&lt;=10,"Medium","High"))</f>
        <v>Low</v>
      </c>
      <c r="Q136" t="str">
        <f>IF(Table1[[#This Row],[RM]]&lt;=5.5,"Small",IF(Table1[[#This Row],[RM]]&lt;=6.5,"Medium","Large"))</f>
        <v>Medium</v>
      </c>
    </row>
    <row r="137" spans="1:17" x14ac:dyDescent="0.3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  <c r="O137" t="str">
        <f>IF(Table1[[#This Row],[MEDV]]&lt;=15,"Low",IF(Table1[[#This Row],[MEDV]]&lt;=25,"Mid","High"))</f>
        <v>Mid</v>
      </c>
      <c r="P137" t="str">
        <f>IF(Table1[[#This Row],[CRIM]]&lt;=1,"Low",IF(Table1[[#This Row],[CRIM]]&lt;=10,"Medium","High"))</f>
        <v>Low</v>
      </c>
      <c r="Q137" t="str">
        <f>IF(Table1[[#This Row],[RM]]&lt;=5.5,"Small",IF(Table1[[#This Row],[RM]]&lt;=6.5,"Medium","Large"))</f>
        <v>Medium</v>
      </c>
    </row>
    <row r="138" spans="1:17" x14ac:dyDescent="0.3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  <c r="O138" t="str">
        <f>IF(Table1[[#This Row],[MEDV]]&lt;=15,"Low",IF(Table1[[#This Row],[MEDV]]&lt;=25,"Mid","High"))</f>
        <v>Mid</v>
      </c>
      <c r="P138" t="str">
        <f>IF(Table1[[#This Row],[CRIM]]&lt;=1,"Low",IF(Table1[[#This Row],[CRIM]]&lt;=10,"Medium","High"))</f>
        <v>Low</v>
      </c>
      <c r="Q138" t="str">
        <f>IF(Table1[[#This Row],[RM]]&lt;=5.5,"Small",IF(Table1[[#This Row],[RM]]&lt;=6.5,"Medium","Large"))</f>
        <v>Medium</v>
      </c>
    </row>
    <row r="139" spans="1:17" x14ac:dyDescent="0.3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  <c r="O139" t="str">
        <f>IF(Table1[[#This Row],[MEDV]]&lt;=15,"Low",IF(Table1[[#This Row],[MEDV]]&lt;=25,"Mid","High"))</f>
        <v>Mid</v>
      </c>
      <c r="P139" t="str">
        <f>IF(Table1[[#This Row],[CRIM]]&lt;=1,"Low",IF(Table1[[#This Row],[CRIM]]&lt;=10,"Medium","High"))</f>
        <v>Low</v>
      </c>
      <c r="Q139" t="str">
        <f>IF(Table1[[#This Row],[RM]]&lt;=5.5,"Small",IF(Table1[[#This Row],[RM]]&lt;=6.5,"Medium","Large"))</f>
        <v>Medium</v>
      </c>
    </row>
    <row r="140" spans="1:17" x14ac:dyDescent="0.3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  <c r="O140" t="str">
        <f>IF(Table1[[#This Row],[MEDV]]&lt;=15,"Low",IF(Table1[[#This Row],[MEDV]]&lt;=25,"Mid","High"))</f>
        <v>Low</v>
      </c>
      <c r="P140" t="str">
        <f>IF(Table1[[#This Row],[CRIM]]&lt;=1,"Low",IF(Table1[[#This Row],[CRIM]]&lt;=10,"Medium","High"))</f>
        <v>Low</v>
      </c>
      <c r="Q140" t="str">
        <f>IF(Table1[[#This Row],[RM]]&lt;=5.5,"Small",IF(Table1[[#This Row],[RM]]&lt;=6.5,"Medium","Large"))</f>
        <v>Medium</v>
      </c>
    </row>
    <row r="141" spans="1:17" x14ac:dyDescent="0.3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  <c r="O141" t="str">
        <f>IF(Table1[[#This Row],[MEDV]]&lt;=15,"Low",IF(Table1[[#This Row],[MEDV]]&lt;=25,"Mid","High"))</f>
        <v>Mid</v>
      </c>
      <c r="P141" t="str">
        <f>IF(Table1[[#This Row],[CRIM]]&lt;=1,"Low",IF(Table1[[#This Row],[CRIM]]&lt;=10,"Medium","High"))</f>
        <v>Low</v>
      </c>
      <c r="Q141" t="str">
        <f>IF(Table1[[#This Row],[RM]]&lt;=5.5,"Small",IF(Table1[[#This Row],[RM]]&lt;=6.5,"Medium","Large"))</f>
        <v>Medium</v>
      </c>
    </row>
    <row r="142" spans="1:17" x14ac:dyDescent="0.3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  <c r="O142" t="str">
        <f>IF(Table1[[#This Row],[MEDV]]&lt;=15,"Low",IF(Table1[[#This Row],[MEDV]]&lt;=25,"Mid","High"))</f>
        <v>Low</v>
      </c>
      <c r="P142" t="str">
        <f>IF(Table1[[#This Row],[CRIM]]&lt;=1,"Low",IF(Table1[[#This Row],[CRIM]]&lt;=10,"Medium","High"))</f>
        <v>Low</v>
      </c>
      <c r="Q142" t="str">
        <f>IF(Table1[[#This Row],[RM]]&lt;=5.5,"Small",IF(Table1[[#This Row],[RM]]&lt;=6.5,"Medium","Large"))</f>
        <v>Medium</v>
      </c>
    </row>
    <row r="143" spans="1:17" x14ac:dyDescent="0.3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  <c r="O143" t="str">
        <f>IF(Table1[[#This Row],[MEDV]]&lt;=15,"Low",IF(Table1[[#This Row],[MEDV]]&lt;=25,"Mid","High"))</f>
        <v>Low</v>
      </c>
      <c r="P143" t="str">
        <f>IF(Table1[[#This Row],[CRIM]]&lt;=1,"Low",IF(Table1[[#This Row],[CRIM]]&lt;=10,"Medium","High"))</f>
        <v>Medium</v>
      </c>
      <c r="Q143" t="str">
        <f>IF(Table1[[#This Row],[RM]]&lt;=5.5,"Small",IF(Table1[[#This Row],[RM]]&lt;=6.5,"Medium","Large"))</f>
        <v>Small</v>
      </c>
    </row>
    <row r="144" spans="1:17" x14ac:dyDescent="0.3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  <c r="O144" t="str">
        <f>IF(Table1[[#This Row],[MEDV]]&lt;=15,"Low",IF(Table1[[#This Row],[MEDV]]&lt;=25,"Mid","High"))</f>
        <v>Low</v>
      </c>
      <c r="P144" t="str">
        <f>IF(Table1[[#This Row],[CRIM]]&lt;=1,"Low",IF(Table1[[#This Row],[CRIM]]&lt;=10,"Medium","High"))</f>
        <v>Medium</v>
      </c>
      <c r="Q144" t="str">
        <f>IF(Table1[[#This Row],[RM]]&lt;=5.5,"Small",IF(Table1[[#This Row],[RM]]&lt;=6.5,"Medium","Large"))</f>
        <v>Small</v>
      </c>
    </row>
    <row r="145" spans="1:17" x14ac:dyDescent="0.3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  <c r="O145" t="str">
        <f>IF(Table1[[#This Row],[MEDV]]&lt;=15,"Low",IF(Table1[[#This Row],[MEDV]]&lt;=25,"Mid","High"))</f>
        <v>Mid</v>
      </c>
      <c r="P145" t="str">
        <f>IF(Table1[[#This Row],[CRIM]]&lt;=1,"Low",IF(Table1[[#This Row],[CRIM]]&lt;=10,"Medium","High"))</f>
        <v>Medium</v>
      </c>
      <c r="Q145" t="str">
        <f>IF(Table1[[#This Row],[RM]]&lt;=5.5,"Small",IF(Table1[[#This Row],[RM]]&lt;=6.5,"Medium","Large"))</f>
        <v>Small</v>
      </c>
    </row>
    <row r="146" spans="1:17" x14ac:dyDescent="0.3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  <c r="O146" t="str">
        <f>IF(Table1[[#This Row],[MEDV]]&lt;=15,"Low",IF(Table1[[#This Row],[MEDV]]&lt;=25,"Mid","High"))</f>
        <v>Low</v>
      </c>
      <c r="P146" t="str">
        <f>IF(Table1[[#This Row],[CRIM]]&lt;=1,"Low",IF(Table1[[#This Row],[CRIM]]&lt;=10,"Medium","High"))</f>
        <v>Medium</v>
      </c>
      <c r="Q146" t="str">
        <f>IF(Table1[[#This Row],[RM]]&lt;=5.5,"Small",IF(Table1[[#This Row],[RM]]&lt;=6.5,"Medium","Large"))</f>
        <v>Small</v>
      </c>
    </row>
    <row r="147" spans="1:17" x14ac:dyDescent="0.3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  <c r="O147" t="str">
        <f>IF(Table1[[#This Row],[MEDV]]&lt;=15,"Low",IF(Table1[[#This Row],[MEDV]]&lt;=25,"Mid","High"))</f>
        <v>Low</v>
      </c>
      <c r="P147" t="str">
        <f>IF(Table1[[#This Row],[CRIM]]&lt;=1,"Low",IF(Table1[[#This Row],[CRIM]]&lt;=10,"Medium","High"))</f>
        <v>Medium</v>
      </c>
      <c r="Q147" t="str">
        <f>IF(Table1[[#This Row],[RM]]&lt;=5.5,"Small",IF(Table1[[#This Row],[RM]]&lt;=6.5,"Medium","Large"))</f>
        <v>Medium</v>
      </c>
    </row>
    <row r="148" spans="1:17" x14ac:dyDescent="0.3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  <c r="O148" t="str">
        <f>IF(Table1[[#This Row],[MEDV]]&lt;=15,"Low",IF(Table1[[#This Row],[MEDV]]&lt;=25,"Mid","High"))</f>
        <v>Mid</v>
      </c>
      <c r="P148" t="str">
        <f>IF(Table1[[#This Row],[CRIM]]&lt;=1,"Low",IF(Table1[[#This Row],[CRIM]]&lt;=10,"Medium","High"))</f>
        <v>Medium</v>
      </c>
      <c r="Q148" t="str">
        <f>IF(Table1[[#This Row],[RM]]&lt;=5.5,"Small",IF(Table1[[#This Row],[RM]]&lt;=6.5,"Medium","Large"))</f>
        <v>Medium</v>
      </c>
    </row>
    <row r="149" spans="1:17" x14ac:dyDescent="0.3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  <c r="O149" t="str">
        <f>IF(Table1[[#This Row],[MEDV]]&lt;=15,"Low",IF(Table1[[#This Row],[MEDV]]&lt;=25,"Mid","High"))</f>
        <v>Low</v>
      </c>
      <c r="P149" t="str">
        <f>IF(Table1[[#This Row],[CRIM]]&lt;=1,"Low",IF(Table1[[#This Row],[CRIM]]&lt;=10,"Medium","High"))</f>
        <v>Medium</v>
      </c>
      <c r="Q149" t="str">
        <f>IF(Table1[[#This Row],[RM]]&lt;=5.5,"Small",IF(Table1[[#This Row],[RM]]&lt;=6.5,"Medium","Large"))</f>
        <v>Small</v>
      </c>
    </row>
    <row r="150" spans="1:17" x14ac:dyDescent="0.3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  <c r="O150" t="str">
        <f>IF(Table1[[#This Row],[MEDV]]&lt;=15,"Low",IF(Table1[[#This Row],[MEDV]]&lt;=25,"Mid","High"))</f>
        <v>Mid</v>
      </c>
      <c r="P150" t="str">
        <f>IF(Table1[[#This Row],[CRIM]]&lt;=1,"Low",IF(Table1[[#This Row],[CRIM]]&lt;=10,"Medium","High"))</f>
        <v>Medium</v>
      </c>
      <c r="Q150" t="str">
        <f>IF(Table1[[#This Row],[RM]]&lt;=5.5,"Small",IF(Table1[[#This Row],[RM]]&lt;=6.5,"Medium","Large"))</f>
        <v>Small</v>
      </c>
    </row>
    <row r="151" spans="1:17" x14ac:dyDescent="0.3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  <c r="O151" t="str">
        <f>IF(Table1[[#This Row],[MEDV]]&lt;=15,"Low",IF(Table1[[#This Row],[MEDV]]&lt;=25,"Mid","High"))</f>
        <v>Mid</v>
      </c>
      <c r="P151" t="str">
        <f>IF(Table1[[#This Row],[CRIM]]&lt;=1,"Low",IF(Table1[[#This Row],[CRIM]]&lt;=10,"Medium","High"))</f>
        <v>Medium</v>
      </c>
      <c r="Q151" t="str">
        <f>IF(Table1[[#This Row],[RM]]&lt;=5.5,"Small",IF(Table1[[#This Row],[RM]]&lt;=6.5,"Medium","Large"))</f>
        <v>Medium</v>
      </c>
    </row>
    <row r="152" spans="1:17" x14ac:dyDescent="0.3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  <c r="O152" t="str">
        <f>IF(Table1[[#This Row],[MEDV]]&lt;=15,"Low",IF(Table1[[#This Row],[MEDV]]&lt;=25,"Mid","High"))</f>
        <v>Mid</v>
      </c>
      <c r="P152" t="str">
        <f>IF(Table1[[#This Row],[CRIM]]&lt;=1,"Low",IF(Table1[[#This Row],[CRIM]]&lt;=10,"Medium","High"))</f>
        <v>Medium</v>
      </c>
      <c r="Q152" t="str">
        <f>IF(Table1[[#This Row],[RM]]&lt;=5.5,"Small",IF(Table1[[#This Row],[RM]]&lt;=6.5,"Medium","Large"))</f>
        <v>Medium</v>
      </c>
    </row>
    <row r="153" spans="1:17" x14ac:dyDescent="0.3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  <c r="O153" t="str">
        <f>IF(Table1[[#This Row],[MEDV]]&lt;=15,"Low",IF(Table1[[#This Row],[MEDV]]&lt;=25,"Mid","High"))</f>
        <v>Mid</v>
      </c>
      <c r="P153" t="str">
        <f>IF(Table1[[#This Row],[CRIM]]&lt;=1,"Low",IF(Table1[[#This Row],[CRIM]]&lt;=10,"Medium","High"))</f>
        <v>Medium</v>
      </c>
      <c r="Q153" t="str">
        <f>IF(Table1[[#This Row],[RM]]&lt;=5.5,"Small",IF(Table1[[#This Row],[RM]]&lt;=6.5,"Medium","Large"))</f>
        <v>Small</v>
      </c>
    </row>
    <row r="154" spans="1:17" x14ac:dyDescent="0.3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  <c r="O154" t="str">
        <f>IF(Table1[[#This Row],[MEDV]]&lt;=15,"Low",IF(Table1[[#This Row],[MEDV]]&lt;=25,"Mid","High"))</f>
        <v>Mid</v>
      </c>
      <c r="P154" t="str">
        <f>IF(Table1[[#This Row],[CRIM]]&lt;=1,"Low",IF(Table1[[#This Row],[CRIM]]&lt;=10,"Medium","High"))</f>
        <v>Medium</v>
      </c>
      <c r="Q154" t="str">
        <f>IF(Table1[[#This Row],[RM]]&lt;=5.5,"Small",IF(Table1[[#This Row],[RM]]&lt;=6.5,"Medium","Large"))</f>
        <v>Small</v>
      </c>
    </row>
    <row r="155" spans="1:17" x14ac:dyDescent="0.3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  <c r="O155" t="str">
        <f>IF(Table1[[#This Row],[MEDV]]&lt;=15,"Low",IF(Table1[[#This Row],[MEDV]]&lt;=25,"Mid","High"))</f>
        <v>Mid</v>
      </c>
      <c r="P155" t="str">
        <f>IF(Table1[[#This Row],[CRIM]]&lt;=1,"Low",IF(Table1[[#This Row],[CRIM]]&lt;=10,"Medium","High"))</f>
        <v>Medium</v>
      </c>
      <c r="Q155" t="str">
        <f>IF(Table1[[#This Row],[RM]]&lt;=5.5,"Small",IF(Table1[[#This Row],[RM]]&lt;=6.5,"Medium","Large"))</f>
        <v>Medium</v>
      </c>
    </row>
    <row r="156" spans="1:17" x14ac:dyDescent="0.3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  <c r="O156" t="str">
        <f>IF(Table1[[#This Row],[MEDV]]&lt;=15,"Low",IF(Table1[[#This Row],[MEDV]]&lt;=25,"Mid","High"))</f>
        <v>Mid</v>
      </c>
      <c r="P156" t="str">
        <f>IF(Table1[[#This Row],[CRIM]]&lt;=1,"Low",IF(Table1[[#This Row],[CRIM]]&lt;=10,"Medium","High"))</f>
        <v>Medium</v>
      </c>
      <c r="Q156" t="str">
        <f>IF(Table1[[#This Row],[RM]]&lt;=5.5,"Small",IF(Table1[[#This Row],[RM]]&lt;=6.5,"Medium","Large"))</f>
        <v>Medium</v>
      </c>
    </row>
    <row r="157" spans="1:17" x14ac:dyDescent="0.3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  <c r="O157" t="str">
        <f>IF(Table1[[#This Row],[MEDV]]&lt;=15,"Low",IF(Table1[[#This Row],[MEDV]]&lt;=25,"Mid","High"))</f>
        <v>Mid</v>
      </c>
      <c r="P157" t="str">
        <f>IF(Table1[[#This Row],[CRIM]]&lt;=1,"Low",IF(Table1[[#This Row],[CRIM]]&lt;=10,"Medium","High"))</f>
        <v>Medium</v>
      </c>
      <c r="Q157" t="str">
        <f>IF(Table1[[#This Row],[RM]]&lt;=5.5,"Small",IF(Table1[[#This Row],[RM]]&lt;=6.5,"Medium","Large"))</f>
        <v>Medium</v>
      </c>
    </row>
    <row r="158" spans="1:17" x14ac:dyDescent="0.3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  <c r="O158" t="str">
        <f>IF(Table1[[#This Row],[MEDV]]&lt;=15,"Low",IF(Table1[[#This Row],[MEDV]]&lt;=25,"Mid","High"))</f>
        <v>Low</v>
      </c>
      <c r="P158" t="str">
        <f>IF(Table1[[#This Row],[CRIM]]&lt;=1,"Low",IF(Table1[[#This Row],[CRIM]]&lt;=10,"Medium","High"))</f>
        <v>Medium</v>
      </c>
      <c r="Q158" t="str">
        <f>IF(Table1[[#This Row],[RM]]&lt;=5.5,"Small",IF(Table1[[#This Row],[RM]]&lt;=6.5,"Medium","Large"))</f>
        <v>Small</v>
      </c>
    </row>
    <row r="159" spans="1:17" x14ac:dyDescent="0.3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  <c r="O159" t="str">
        <f>IF(Table1[[#This Row],[MEDV]]&lt;=15,"Low",IF(Table1[[#This Row],[MEDV]]&lt;=25,"Mid","High"))</f>
        <v>High</v>
      </c>
      <c r="P159" t="str">
        <f>IF(Table1[[#This Row],[CRIM]]&lt;=1,"Low",IF(Table1[[#This Row],[CRIM]]&lt;=10,"Medium","High"))</f>
        <v>Medium</v>
      </c>
      <c r="Q159" t="str">
        <f>IF(Table1[[#This Row],[RM]]&lt;=5.5,"Small",IF(Table1[[#This Row],[RM]]&lt;=6.5,"Medium","Large"))</f>
        <v>Large</v>
      </c>
    </row>
    <row r="160" spans="1:17" x14ac:dyDescent="0.3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  <c r="O160" t="str">
        <f>IF(Table1[[#This Row],[MEDV]]&lt;=15,"Low",IF(Table1[[#This Row],[MEDV]]&lt;=25,"Mid","High"))</f>
        <v>Mid</v>
      </c>
      <c r="P160" t="str">
        <f>IF(Table1[[#This Row],[CRIM]]&lt;=1,"Low",IF(Table1[[#This Row],[CRIM]]&lt;=10,"Medium","High"))</f>
        <v>Medium</v>
      </c>
      <c r="Q160" t="str">
        <f>IF(Table1[[#This Row],[RM]]&lt;=5.5,"Small",IF(Table1[[#This Row],[RM]]&lt;=6.5,"Medium","Large"))</f>
        <v>Medium</v>
      </c>
    </row>
    <row r="161" spans="1:17" x14ac:dyDescent="0.3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  <c r="O161" t="str">
        <f>IF(Table1[[#This Row],[MEDV]]&lt;=15,"Low",IF(Table1[[#This Row],[MEDV]]&lt;=25,"Mid","High"))</f>
        <v>Mid</v>
      </c>
      <c r="P161" t="str">
        <f>IF(Table1[[#This Row],[CRIM]]&lt;=1,"Low",IF(Table1[[#This Row],[CRIM]]&lt;=10,"Medium","High"))</f>
        <v>Medium</v>
      </c>
      <c r="Q161" t="str">
        <f>IF(Table1[[#This Row],[RM]]&lt;=5.5,"Small",IF(Table1[[#This Row],[RM]]&lt;=6.5,"Medium","Large"))</f>
        <v>Large</v>
      </c>
    </row>
    <row r="162" spans="1:17" x14ac:dyDescent="0.3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  <c r="O162" t="str">
        <f>IF(Table1[[#This Row],[MEDV]]&lt;=15,"Low",IF(Table1[[#This Row],[MEDV]]&lt;=25,"Mid","High"))</f>
        <v>High</v>
      </c>
      <c r="P162" t="str">
        <f>IF(Table1[[#This Row],[CRIM]]&lt;=1,"Low",IF(Table1[[#This Row],[CRIM]]&lt;=10,"Medium","High"))</f>
        <v>Medium</v>
      </c>
      <c r="Q162" t="str">
        <f>IF(Table1[[#This Row],[RM]]&lt;=5.5,"Small",IF(Table1[[#This Row],[RM]]&lt;=6.5,"Medium","Large"))</f>
        <v>Medium</v>
      </c>
    </row>
    <row r="163" spans="1:17" x14ac:dyDescent="0.3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  <c r="O163" t="str">
        <f>IF(Table1[[#This Row],[MEDV]]&lt;=15,"Low",IF(Table1[[#This Row],[MEDV]]&lt;=25,"Mid","High"))</f>
        <v>High</v>
      </c>
      <c r="P163" t="str">
        <f>IF(Table1[[#This Row],[CRIM]]&lt;=1,"Low",IF(Table1[[#This Row],[CRIM]]&lt;=10,"Medium","High"))</f>
        <v>Medium</v>
      </c>
      <c r="Q163" t="str">
        <f>IF(Table1[[#This Row],[RM]]&lt;=5.5,"Small",IF(Table1[[#This Row],[RM]]&lt;=6.5,"Medium","Large"))</f>
        <v>Large</v>
      </c>
    </row>
    <row r="164" spans="1:17" x14ac:dyDescent="0.3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  <c r="O164" t="str">
        <f>IF(Table1[[#This Row],[MEDV]]&lt;=15,"Low",IF(Table1[[#This Row],[MEDV]]&lt;=25,"Mid","High"))</f>
        <v>High</v>
      </c>
      <c r="P164" t="str">
        <f>IF(Table1[[#This Row],[CRIM]]&lt;=1,"Low",IF(Table1[[#This Row],[CRIM]]&lt;=10,"Medium","High"))</f>
        <v>Medium</v>
      </c>
      <c r="Q164" t="str">
        <f>IF(Table1[[#This Row],[RM]]&lt;=5.5,"Small",IF(Table1[[#This Row],[RM]]&lt;=6.5,"Medium","Large"))</f>
        <v>Large</v>
      </c>
    </row>
    <row r="165" spans="1:17" x14ac:dyDescent="0.3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  <c r="O165" t="str">
        <f>IF(Table1[[#This Row],[MEDV]]&lt;=15,"Low",IF(Table1[[#This Row],[MEDV]]&lt;=25,"Mid","High"))</f>
        <v>High</v>
      </c>
      <c r="P165" t="str">
        <f>IF(Table1[[#This Row],[CRIM]]&lt;=1,"Low",IF(Table1[[#This Row],[CRIM]]&lt;=10,"Medium","High"))</f>
        <v>Medium</v>
      </c>
      <c r="Q165" t="str">
        <f>IF(Table1[[#This Row],[RM]]&lt;=5.5,"Small",IF(Table1[[#This Row],[RM]]&lt;=6.5,"Medium","Large"))</f>
        <v>Large</v>
      </c>
    </row>
    <row r="166" spans="1:17" x14ac:dyDescent="0.3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  <c r="O166" t="str">
        <f>IF(Table1[[#This Row],[MEDV]]&lt;=15,"Low",IF(Table1[[#This Row],[MEDV]]&lt;=25,"Mid","High"))</f>
        <v>Mid</v>
      </c>
      <c r="P166" t="str">
        <f>IF(Table1[[#This Row],[CRIM]]&lt;=1,"Low",IF(Table1[[#This Row],[CRIM]]&lt;=10,"Medium","High"))</f>
        <v>Medium</v>
      </c>
      <c r="Q166" t="str">
        <f>IF(Table1[[#This Row],[RM]]&lt;=5.5,"Small",IF(Table1[[#This Row],[RM]]&lt;=6.5,"Medium","Large"))</f>
        <v>Medium</v>
      </c>
    </row>
    <row r="167" spans="1:17" x14ac:dyDescent="0.3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  <c r="O167" t="str">
        <f>IF(Table1[[#This Row],[MEDV]]&lt;=15,"Low",IF(Table1[[#This Row],[MEDV]]&lt;=25,"Mid","High"))</f>
        <v>Mid</v>
      </c>
      <c r="P167" t="str">
        <f>IF(Table1[[#This Row],[CRIM]]&lt;=1,"Low",IF(Table1[[#This Row],[CRIM]]&lt;=10,"Medium","High"))</f>
        <v>Medium</v>
      </c>
      <c r="Q167" t="str">
        <f>IF(Table1[[#This Row],[RM]]&lt;=5.5,"Small",IF(Table1[[#This Row],[RM]]&lt;=6.5,"Medium","Large"))</f>
        <v>Medium</v>
      </c>
    </row>
    <row r="168" spans="1:17" x14ac:dyDescent="0.3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  <c r="O168" t="str">
        <f>IF(Table1[[#This Row],[MEDV]]&lt;=15,"Low",IF(Table1[[#This Row],[MEDV]]&lt;=25,"Mid","High"))</f>
        <v>High</v>
      </c>
      <c r="P168" t="str">
        <f>IF(Table1[[#This Row],[CRIM]]&lt;=1,"Low",IF(Table1[[#This Row],[CRIM]]&lt;=10,"Medium","High"))</f>
        <v>Medium</v>
      </c>
      <c r="Q168" t="str">
        <f>IF(Table1[[#This Row],[RM]]&lt;=5.5,"Small",IF(Table1[[#This Row],[RM]]&lt;=6.5,"Medium","Large"))</f>
        <v>Large</v>
      </c>
    </row>
    <row r="169" spans="1:17" x14ac:dyDescent="0.3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  <c r="O169" t="str">
        <f>IF(Table1[[#This Row],[MEDV]]&lt;=15,"Low",IF(Table1[[#This Row],[MEDV]]&lt;=25,"Mid","High"))</f>
        <v>Mid</v>
      </c>
      <c r="P169" t="str">
        <f>IF(Table1[[#This Row],[CRIM]]&lt;=1,"Low",IF(Table1[[#This Row],[CRIM]]&lt;=10,"Medium","High"))</f>
        <v>Medium</v>
      </c>
      <c r="Q169" t="str">
        <f>IF(Table1[[#This Row],[RM]]&lt;=5.5,"Small",IF(Table1[[#This Row],[RM]]&lt;=6.5,"Medium","Large"))</f>
        <v>Medium</v>
      </c>
    </row>
    <row r="170" spans="1:17" x14ac:dyDescent="0.3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  <c r="O170" t="str">
        <f>IF(Table1[[#This Row],[MEDV]]&lt;=15,"Low",IF(Table1[[#This Row],[MEDV]]&lt;=25,"Mid","High"))</f>
        <v>Mid</v>
      </c>
      <c r="P170" t="str">
        <f>IF(Table1[[#This Row],[CRIM]]&lt;=1,"Low",IF(Table1[[#This Row],[CRIM]]&lt;=10,"Medium","High"))</f>
        <v>Medium</v>
      </c>
      <c r="Q170" t="str">
        <f>IF(Table1[[#This Row],[RM]]&lt;=5.5,"Small",IF(Table1[[#This Row],[RM]]&lt;=6.5,"Medium","Large"))</f>
        <v>Medium</v>
      </c>
    </row>
    <row r="171" spans="1:17" x14ac:dyDescent="0.3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  <c r="O171" t="str">
        <f>IF(Table1[[#This Row],[MEDV]]&lt;=15,"Low",IF(Table1[[#This Row],[MEDV]]&lt;=25,"Mid","High"))</f>
        <v>Mid</v>
      </c>
      <c r="P171" t="str">
        <f>IF(Table1[[#This Row],[CRIM]]&lt;=1,"Low",IF(Table1[[#This Row],[CRIM]]&lt;=10,"Medium","High"))</f>
        <v>Medium</v>
      </c>
      <c r="Q171" t="str">
        <f>IF(Table1[[#This Row],[RM]]&lt;=5.5,"Small",IF(Table1[[#This Row],[RM]]&lt;=6.5,"Medium","Large"))</f>
        <v>Medium</v>
      </c>
    </row>
    <row r="172" spans="1:17" x14ac:dyDescent="0.3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  <c r="O172" t="str">
        <f>IF(Table1[[#This Row],[MEDV]]&lt;=15,"Low",IF(Table1[[#This Row],[MEDV]]&lt;=25,"Mid","High"))</f>
        <v>Mid</v>
      </c>
      <c r="P172" t="str">
        <f>IF(Table1[[#This Row],[CRIM]]&lt;=1,"Low",IF(Table1[[#This Row],[CRIM]]&lt;=10,"Medium","High"))</f>
        <v>Medium</v>
      </c>
      <c r="Q172" t="str">
        <f>IF(Table1[[#This Row],[RM]]&lt;=5.5,"Small",IF(Table1[[#This Row],[RM]]&lt;=6.5,"Medium","Large"))</f>
        <v>Medium</v>
      </c>
    </row>
    <row r="173" spans="1:17" x14ac:dyDescent="0.3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  <c r="O173" t="str">
        <f>IF(Table1[[#This Row],[MEDV]]&lt;=15,"Low",IF(Table1[[#This Row],[MEDV]]&lt;=25,"Mid","High"))</f>
        <v>Mid</v>
      </c>
      <c r="P173" t="str">
        <f>IF(Table1[[#This Row],[CRIM]]&lt;=1,"Low",IF(Table1[[#This Row],[CRIM]]&lt;=10,"Medium","High"))</f>
        <v>Medium</v>
      </c>
      <c r="Q173" t="str">
        <f>IF(Table1[[#This Row],[RM]]&lt;=5.5,"Small",IF(Table1[[#This Row],[RM]]&lt;=6.5,"Medium","Large"))</f>
        <v>Medium</v>
      </c>
    </row>
    <row r="174" spans="1:17" x14ac:dyDescent="0.3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  <c r="O174" t="str">
        <f>IF(Table1[[#This Row],[MEDV]]&lt;=15,"Low",IF(Table1[[#This Row],[MEDV]]&lt;=25,"Mid","High"))</f>
        <v>Mid</v>
      </c>
      <c r="P174" t="str">
        <f>IF(Table1[[#This Row],[CRIM]]&lt;=1,"Low",IF(Table1[[#This Row],[CRIM]]&lt;=10,"Medium","High"))</f>
        <v>Low</v>
      </c>
      <c r="Q174" t="str">
        <f>IF(Table1[[#This Row],[RM]]&lt;=5.5,"Small",IF(Table1[[#This Row],[RM]]&lt;=6.5,"Medium","Large"))</f>
        <v>Medium</v>
      </c>
    </row>
    <row r="175" spans="1:17" x14ac:dyDescent="0.3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  <c r="O175" t="str">
        <f>IF(Table1[[#This Row],[MEDV]]&lt;=15,"Low",IF(Table1[[#This Row],[MEDV]]&lt;=25,"Mid","High"))</f>
        <v>Mid</v>
      </c>
      <c r="P175" t="str">
        <f>IF(Table1[[#This Row],[CRIM]]&lt;=1,"Low",IF(Table1[[#This Row],[CRIM]]&lt;=10,"Medium","High"))</f>
        <v>Low</v>
      </c>
      <c r="Q175" t="str">
        <f>IF(Table1[[#This Row],[RM]]&lt;=5.5,"Small",IF(Table1[[#This Row],[RM]]&lt;=6.5,"Medium","Large"))</f>
        <v>Medium</v>
      </c>
    </row>
    <row r="176" spans="1:17" x14ac:dyDescent="0.3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  <c r="O176" t="str">
        <f>IF(Table1[[#This Row],[MEDV]]&lt;=15,"Low",IF(Table1[[#This Row],[MEDV]]&lt;=25,"Mid","High"))</f>
        <v>Mid</v>
      </c>
      <c r="P176" t="str">
        <f>IF(Table1[[#This Row],[CRIM]]&lt;=1,"Low",IF(Table1[[#This Row],[CRIM]]&lt;=10,"Medium","High"))</f>
        <v>Low</v>
      </c>
      <c r="Q176" t="str">
        <f>IF(Table1[[#This Row],[RM]]&lt;=5.5,"Small",IF(Table1[[#This Row],[RM]]&lt;=6.5,"Medium","Large"))</f>
        <v>Medium</v>
      </c>
    </row>
    <row r="177" spans="1:17" x14ac:dyDescent="0.3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  <c r="O177" t="str">
        <f>IF(Table1[[#This Row],[MEDV]]&lt;=15,"Low",IF(Table1[[#This Row],[MEDV]]&lt;=25,"Mid","High"))</f>
        <v>High</v>
      </c>
      <c r="P177" t="str">
        <f>IF(Table1[[#This Row],[CRIM]]&lt;=1,"Low",IF(Table1[[#This Row],[CRIM]]&lt;=10,"Medium","High"))</f>
        <v>Low</v>
      </c>
      <c r="Q177" t="str">
        <f>IF(Table1[[#This Row],[RM]]&lt;=5.5,"Small",IF(Table1[[#This Row],[RM]]&lt;=6.5,"Medium","Large"))</f>
        <v>Large</v>
      </c>
    </row>
    <row r="178" spans="1:17" x14ac:dyDescent="0.3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  <c r="O178" t="str">
        <f>IF(Table1[[#This Row],[MEDV]]&lt;=15,"Low",IF(Table1[[#This Row],[MEDV]]&lt;=25,"Mid","High"))</f>
        <v>Mid</v>
      </c>
      <c r="P178" t="str">
        <f>IF(Table1[[#This Row],[CRIM]]&lt;=1,"Low",IF(Table1[[#This Row],[CRIM]]&lt;=10,"Medium","High"))</f>
        <v>Low</v>
      </c>
      <c r="Q178" t="str">
        <f>IF(Table1[[#This Row],[RM]]&lt;=5.5,"Small",IF(Table1[[#This Row],[RM]]&lt;=6.5,"Medium","Large"))</f>
        <v>Medium</v>
      </c>
    </row>
    <row r="179" spans="1:17" x14ac:dyDescent="0.3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  <c r="O179" t="str">
        <f>IF(Table1[[#This Row],[MEDV]]&lt;=15,"Low",IF(Table1[[#This Row],[MEDV]]&lt;=25,"Mid","High"))</f>
        <v>Mid</v>
      </c>
      <c r="P179" t="str">
        <f>IF(Table1[[#This Row],[CRIM]]&lt;=1,"Low",IF(Table1[[#This Row],[CRIM]]&lt;=10,"Medium","High"))</f>
        <v>Low</v>
      </c>
      <c r="Q179" t="str">
        <f>IF(Table1[[#This Row],[RM]]&lt;=5.5,"Small",IF(Table1[[#This Row],[RM]]&lt;=6.5,"Medium","Large"))</f>
        <v>Medium</v>
      </c>
    </row>
    <row r="180" spans="1:17" x14ac:dyDescent="0.3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  <c r="O180" t="str">
        <f>IF(Table1[[#This Row],[MEDV]]&lt;=15,"Low",IF(Table1[[#This Row],[MEDV]]&lt;=25,"Mid","High"))</f>
        <v>High</v>
      </c>
      <c r="P180" t="str">
        <f>IF(Table1[[#This Row],[CRIM]]&lt;=1,"Low",IF(Table1[[#This Row],[CRIM]]&lt;=10,"Medium","High"))</f>
        <v>Low</v>
      </c>
      <c r="Q180" t="str">
        <f>IF(Table1[[#This Row],[RM]]&lt;=5.5,"Small",IF(Table1[[#This Row],[RM]]&lt;=6.5,"Medium","Large"))</f>
        <v>Large</v>
      </c>
    </row>
    <row r="181" spans="1:17" x14ac:dyDescent="0.3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  <c r="O181" t="str">
        <f>IF(Table1[[#This Row],[MEDV]]&lt;=15,"Low",IF(Table1[[#This Row],[MEDV]]&lt;=25,"Mid","High"))</f>
        <v>High</v>
      </c>
      <c r="P181" t="str">
        <f>IF(Table1[[#This Row],[CRIM]]&lt;=1,"Low",IF(Table1[[#This Row],[CRIM]]&lt;=10,"Medium","High"))</f>
        <v>Low</v>
      </c>
      <c r="Q181" t="str">
        <f>IF(Table1[[#This Row],[RM]]&lt;=5.5,"Small",IF(Table1[[#This Row],[RM]]&lt;=6.5,"Medium","Large"))</f>
        <v>Large</v>
      </c>
    </row>
    <row r="182" spans="1:17" x14ac:dyDescent="0.3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  <c r="O182" t="str">
        <f>IF(Table1[[#This Row],[MEDV]]&lt;=15,"Low",IF(Table1[[#This Row],[MEDV]]&lt;=25,"Mid","High"))</f>
        <v>High</v>
      </c>
      <c r="P182" t="str">
        <f>IF(Table1[[#This Row],[CRIM]]&lt;=1,"Low",IF(Table1[[#This Row],[CRIM]]&lt;=10,"Medium","High"))</f>
        <v>Low</v>
      </c>
      <c r="Q182" t="str">
        <f>IF(Table1[[#This Row],[RM]]&lt;=5.5,"Small",IF(Table1[[#This Row],[RM]]&lt;=6.5,"Medium","Large"))</f>
        <v>Large</v>
      </c>
    </row>
    <row r="183" spans="1:17" x14ac:dyDescent="0.3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  <c r="O183" t="str">
        <f>IF(Table1[[#This Row],[MEDV]]&lt;=15,"Low",IF(Table1[[#This Row],[MEDV]]&lt;=25,"Mid","High"))</f>
        <v>High</v>
      </c>
      <c r="P183" t="str">
        <f>IF(Table1[[#This Row],[CRIM]]&lt;=1,"Low",IF(Table1[[#This Row],[CRIM]]&lt;=10,"Medium","High"))</f>
        <v>Low</v>
      </c>
      <c r="Q183" t="str">
        <f>IF(Table1[[#This Row],[RM]]&lt;=5.5,"Small",IF(Table1[[#This Row],[RM]]&lt;=6.5,"Medium","Large"))</f>
        <v>Medium</v>
      </c>
    </row>
    <row r="184" spans="1:17" x14ac:dyDescent="0.3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  <c r="O184" t="str">
        <f>IF(Table1[[#This Row],[MEDV]]&lt;=15,"Low",IF(Table1[[#This Row],[MEDV]]&lt;=25,"Mid","High"))</f>
        <v>High</v>
      </c>
      <c r="P184" t="str">
        <f>IF(Table1[[#This Row],[CRIM]]&lt;=1,"Low",IF(Table1[[#This Row],[CRIM]]&lt;=10,"Medium","High"))</f>
        <v>Low</v>
      </c>
      <c r="Q184" t="str">
        <f>IF(Table1[[#This Row],[RM]]&lt;=5.5,"Small",IF(Table1[[#This Row],[RM]]&lt;=6.5,"Medium","Large"))</f>
        <v>Large</v>
      </c>
    </row>
    <row r="185" spans="1:17" x14ac:dyDescent="0.3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  <c r="O185" t="str">
        <f>IF(Table1[[#This Row],[MEDV]]&lt;=15,"Low",IF(Table1[[#This Row],[MEDV]]&lt;=25,"Mid","High"))</f>
        <v>High</v>
      </c>
      <c r="P185" t="str">
        <f>IF(Table1[[#This Row],[CRIM]]&lt;=1,"Low",IF(Table1[[#This Row],[CRIM]]&lt;=10,"Medium","High"))</f>
        <v>Low</v>
      </c>
      <c r="Q185" t="str">
        <f>IF(Table1[[#This Row],[RM]]&lt;=5.5,"Small",IF(Table1[[#This Row],[RM]]&lt;=6.5,"Medium","Large"))</f>
        <v>Large</v>
      </c>
    </row>
    <row r="186" spans="1:17" x14ac:dyDescent="0.3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  <c r="O186" t="str">
        <f>IF(Table1[[#This Row],[MEDV]]&lt;=15,"Low",IF(Table1[[#This Row],[MEDV]]&lt;=25,"Mid","High"))</f>
        <v>High</v>
      </c>
      <c r="P186" t="str">
        <f>IF(Table1[[#This Row],[CRIM]]&lt;=1,"Low",IF(Table1[[#This Row],[CRIM]]&lt;=10,"Medium","High"))</f>
        <v>Low</v>
      </c>
      <c r="Q186" t="str">
        <f>IF(Table1[[#This Row],[RM]]&lt;=5.5,"Small",IF(Table1[[#This Row],[RM]]&lt;=6.5,"Medium","Large"))</f>
        <v>Medium</v>
      </c>
    </row>
    <row r="187" spans="1:17" x14ac:dyDescent="0.3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  <c r="O187" t="str">
        <f>IF(Table1[[#This Row],[MEDV]]&lt;=15,"Low",IF(Table1[[#This Row],[MEDV]]&lt;=25,"Mid","High"))</f>
        <v>High</v>
      </c>
      <c r="P187" t="str">
        <f>IF(Table1[[#This Row],[CRIM]]&lt;=1,"Low",IF(Table1[[#This Row],[CRIM]]&lt;=10,"Medium","High"))</f>
        <v>Low</v>
      </c>
      <c r="Q187" t="str">
        <f>IF(Table1[[#This Row],[RM]]&lt;=5.5,"Small",IF(Table1[[#This Row],[RM]]&lt;=6.5,"Medium","Large"))</f>
        <v>Medium</v>
      </c>
    </row>
    <row r="188" spans="1:17" x14ac:dyDescent="0.3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  <c r="O188" t="str">
        <f>IF(Table1[[#This Row],[MEDV]]&lt;=15,"Low",IF(Table1[[#This Row],[MEDV]]&lt;=25,"Mid","High"))</f>
        <v>High</v>
      </c>
      <c r="P188" t="str">
        <f>IF(Table1[[#This Row],[CRIM]]&lt;=1,"Low",IF(Table1[[#This Row],[CRIM]]&lt;=10,"Medium","High"))</f>
        <v>Low</v>
      </c>
      <c r="Q188" t="str">
        <f>IF(Table1[[#This Row],[RM]]&lt;=5.5,"Small",IF(Table1[[#This Row],[RM]]&lt;=6.5,"Medium","Large"))</f>
        <v>Large</v>
      </c>
    </row>
    <row r="189" spans="1:17" x14ac:dyDescent="0.3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  <c r="O189" t="str">
        <f>IF(Table1[[#This Row],[MEDV]]&lt;=15,"Low",IF(Table1[[#This Row],[MEDV]]&lt;=25,"Mid","High"))</f>
        <v>High</v>
      </c>
      <c r="P189" t="str">
        <f>IF(Table1[[#This Row],[CRIM]]&lt;=1,"Low",IF(Table1[[#This Row],[CRIM]]&lt;=10,"Medium","High"))</f>
        <v>Low</v>
      </c>
      <c r="Q189" t="str">
        <f>IF(Table1[[#This Row],[RM]]&lt;=5.5,"Small",IF(Table1[[#This Row],[RM]]&lt;=6.5,"Medium","Large"))</f>
        <v>Large</v>
      </c>
    </row>
    <row r="190" spans="1:17" x14ac:dyDescent="0.3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  <c r="O190" t="str">
        <f>IF(Table1[[#This Row],[MEDV]]&lt;=15,"Low",IF(Table1[[#This Row],[MEDV]]&lt;=25,"Mid","High"))</f>
        <v>High</v>
      </c>
      <c r="P190" t="str">
        <f>IF(Table1[[#This Row],[CRIM]]&lt;=1,"Low",IF(Table1[[#This Row],[CRIM]]&lt;=10,"Medium","High"))</f>
        <v>Low</v>
      </c>
      <c r="Q190" t="str">
        <f>IF(Table1[[#This Row],[RM]]&lt;=5.5,"Small",IF(Table1[[#This Row],[RM]]&lt;=6.5,"Medium","Large"))</f>
        <v>Large</v>
      </c>
    </row>
    <row r="191" spans="1:17" x14ac:dyDescent="0.3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  <c r="O191" t="str">
        <f>IF(Table1[[#This Row],[MEDV]]&lt;=15,"Low",IF(Table1[[#This Row],[MEDV]]&lt;=25,"Mid","High"))</f>
        <v>High</v>
      </c>
      <c r="P191" t="str">
        <f>IF(Table1[[#This Row],[CRIM]]&lt;=1,"Low",IF(Table1[[#This Row],[CRIM]]&lt;=10,"Medium","High"))</f>
        <v>Low</v>
      </c>
      <c r="Q191" t="str">
        <f>IF(Table1[[#This Row],[RM]]&lt;=5.5,"Small",IF(Table1[[#This Row],[RM]]&lt;=6.5,"Medium","Large"))</f>
        <v>Large</v>
      </c>
    </row>
    <row r="192" spans="1:17" x14ac:dyDescent="0.3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  <c r="O192" t="str">
        <f>IF(Table1[[#This Row],[MEDV]]&lt;=15,"Low",IF(Table1[[#This Row],[MEDV]]&lt;=25,"Mid","High"))</f>
        <v>High</v>
      </c>
      <c r="P192" t="str">
        <f>IF(Table1[[#This Row],[CRIM]]&lt;=1,"Low",IF(Table1[[#This Row],[CRIM]]&lt;=10,"Medium","High"))</f>
        <v>Low</v>
      </c>
      <c r="Q192" t="str">
        <f>IF(Table1[[#This Row],[RM]]&lt;=5.5,"Small",IF(Table1[[#This Row],[RM]]&lt;=6.5,"Medium","Large"))</f>
        <v>Large</v>
      </c>
    </row>
    <row r="193" spans="1:17" x14ac:dyDescent="0.3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  <c r="O193" t="str">
        <f>IF(Table1[[#This Row],[MEDV]]&lt;=15,"Low",IF(Table1[[#This Row],[MEDV]]&lt;=25,"Mid","High"))</f>
        <v>High</v>
      </c>
      <c r="P193" t="str">
        <f>IF(Table1[[#This Row],[CRIM]]&lt;=1,"Low",IF(Table1[[#This Row],[CRIM]]&lt;=10,"Medium","High"))</f>
        <v>Low</v>
      </c>
      <c r="Q193" t="str">
        <f>IF(Table1[[#This Row],[RM]]&lt;=5.5,"Small",IF(Table1[[#This Row],[RM]]&lt;=6.5,"Medium","Large"))</f>
        <v>Large</v>
      </c>
    </row>
    <row r="194" spans="1:17" x14ac:dyDescent="0.3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  <c r="O194" t="str">
        <f>IF(Table1[[#This Row],[MEDV]]&lt;=15,"Low",IF(Table1[[#This Row],[MEDV]]&lt;=25,"Mid","High"))</f>
        <v>High</v>
      </c>
      <c r="P194" t="str">
        <f>IF(Table1[[#This Row],[CRIM]]&lt;=1,"Low",IF(Table1[[#This Row],[CRIM]]&lt;=10,"Medium","High"))</f>
        <v>Low</v>
      </c>
      <c r="Q194" t="str">
        <f>IF(Table1[[#This Row],[RM]]&lt;=5.5,"Small",IF(Table1[[#This Row],[RM]]&lt;=6.5,"Medium","Large"))</f>
        <v>Large</v>
      </c>
    </row>
    <row r="195" spans="1:17" x14ac:dyDescent="0.3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  <c r="O195" t="str">
        <f>IF(Table1[[#This Row],[MEDV]]&lt;=15,"Low",IF(Table1[[#This Row],[MEDV]]&lt;=25,"Mid","High"))</f>
        <v>High</v>
      </c>
      <c r="P195" t="str">
        <f>IF(Table1[[#This Row],[CRIM]]&lt;=1,"Low",IF(Table1[[#This Row],[CRIM]]&lt;=10,"Medium","High"))</f>
        <v>Low</v>
      </c>
      <c r="Q195" t="str">
        <f>IF(Table1[[#This Row],[RM]]&lt;=5.5,"Small",IF(Table1[[#This Row],[RM]]&lt;=6.5,"Medium","Large"))</f>
        <v>Large</v>
      </c>
    </row>
    <row r="196" spans="1:17" x14ac:dyDescent="0.3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  <c r="O196" t="str">
        <f>IF(Table1[[#This Row],[MEDV]]&lt;=15,"Low",IF(Table1[[#This Row],[MEDV]]&lt;=25,"Mid","High"))</f>
        <v>High</v>
      </c>
      <c r="P196" t="str">
        <f>IF(Table1[[#This Row],[CRIM]]&lt;=1,"Low",IF(Table1[[#This Row],[CRIM]]&lt;=10,"Medium","High"))</f>
        <v>Low</v>
      </c>
      <c r="Q196" t="str">
        <f>IF(Table1[[#This Row],[RM]]&lt;=5.5,"Small",IF(Table1[[#This Row],[RM]]&lt;=6.5,"Medium","Large"))</f>
        <v>Large</v>
      </c>
    </row>
    <row r="197" spans="1:17" x14ac:dyDescent="0.3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  <c r="O197" t="str">
        <f>IF(Table1[[#This Row],[MEDV]]&lt;=15,"Low",IF(Table1[[#This Row],[MEDV]]&lt;=25,"Mid","High"))</f>
        <v>High</v>
      </c>
      <c r="P197" t="str">
        <f>IF(Table1[[#This Row],[CRIM]]&lt;=1,"Low",IF(Table1[[#This Row],[CRIM]]&lt;=10,"Medium","High"))</f>
        <v>Low</v>
      </c>
      <c r="Q197" t="str">
        <f>IF(Table1[[#This Row],[RM]]&lt;=5.5,"Small",IF(Table1[[#This Row],[RM]]&lt;=6.5,"Medium","Large"))</f>
        <v>Large</v>
      </c>
    </row>
    <row r="198" spans="1:17" x14ac:dyDescent="0.3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  <c r="O198" t="str">
        <f>IF(Table1[[#This Row],[MEDV]]&lt;=15,"Low",IF(Table1[[#This Row],[MEDV]]&lt;=25,"Mid","High"))</f>
        <v>High</v>
      </c>
      <c r="P198" t="str">
        <f>IF(Table1[[#This Row],[CRIM]]&lt;=1,"Low",IF(Table1[[#This Row],[CRIM]]&lt;=10,"Medium","High"))</f>
        <v>Low</v>
      </c>
      <c r="Q198" t="str">
        <f>IF(Table1[[#This Row],[RM]]&lt;=5.5,"Small",IF(Table1[[#This Row],[RM]]&lt;=6.5,"Medium","Large"))</f>
        <v>Large</v>
      </c>
    </row>
    <row r="199" spans="1:17" x14ac:dyDescent="0.3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  <c r="O199" t="str">
        <f>IF(Table1[[#This Row],[MEDV]]&lt;=15,"Low",IF(Table1[[#This Row],[MEDV]]&lt;=25,"Mid","High"))</f>
        <v>High</v>
      </c>
      <c r="P199" t="str">
        <f>IF(Table1[[#This Row],[CRIM]]&lt;=1,"Low",IF(Table1[[#This Row],[CRIM]]&lt;=10,"Medium","High"))</f>
        <v>Low</v>
      </c>
      <c r="Q199" t="str">
        <f>IF(Table1[[#This Row],[RM]]&lt;=5.5,"Small",IF(Table1[[#This Row],[RM]]&lt;=6.5,"Medium","Large"))</f>
        <v>Large</v>
      </c>
    </row>
    <row r="200" spans="1:17" x14ac:dyDescent="0.3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  <c r="O200" t="str">
        <f>IF(Table1[[#This Row],[MEDV]]&lt;=15,"Low",IF(Table1[[#This Row],[MEDV]]&lt;=25,"Mid","High"))</f>
        <v>High</v>
      </c>
      <c r="P200" t="str">
        <f>IF(Table1[[#This Row],[CRIM]]&lt;=1,"Low",IF(Table1[[#This Row],[CRIM]]&lt;=10,"Medium","High"))</f>
        <v>Low</v>
      </c>
      <c r="Q200" t="str">
        <f>IF(Table1[[#This Row],[RM]]&lt;=5.5,"Small",IF(Table1[[#This Row],[RM]]&lt;=6.5,"Medium","Large"))</f>
        <v>Large</v>
      </c>
    </row>
    <row r="201" spans="1:17" x14ac:dyDescent="0.3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  <c r="O201" t="str">
        <f>IF(Table1[[#This Row],[MEDV]]&lt;=15,"Low",IF(Table1[[#This Row],[MEDV]]&lt;=25,"Mid","High"))</f>
        <v>High</v>
      </c>
      <c r="P201" t="str">
        <f>IF(Table1[[#This Row],[CRIM]]&lt;=1,"Low",IF(Table1[[#This Row],[CRIM]]&lt;=10,"Medium","High"))</f>
        <v>Low</v>
      </c>
      <c r="Q201" t="str">
        <f>IF(Table1[[#This Row],[RM]]&lt;=5.5,"Small",IF(Table1[[#This Row],[RM]]&lt;=6.5,"Medium","Large"))</f>
        <v>Large</v>
      </c>
    </row>
    <row r="202" spans="1:17" x14ac:dyDescent="0.3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  <c r="O202" t="str">
        <f>IF(Table1[[#This Row],[MEDV]]&lt;=15,"Low",IF(Table1[[#This Row],[MEDV]]&lt;=25,"Mid","High"))</f>
        <v>High</v>
      </c>
      <c r="P202" t="str">
        <f>IF(Table1[[#This Row],[CRIM]]&lt;=1,"Low",IF(Table1[[#This Row],[CRIM]]&lt;=10,"Medium","High"))</f>
        <v>Low</v>
      </c>
      <c r="Q202" t="str">
        <f>IF(Table1[[#This Row],[RM]]&lt;=5.5,"Small",IF(Table1[[#This Row],[RM]]&lt;=6.5,"Medium","Large"))</f>
        <v>Large</v>
      </c>
    </row>
    <row r="203" spans="1:17" x14ac:dyDescent="0.3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  <c r="O203" t="str">
        <f>IF(Table1[[#This Row],[MEDV]]&lt;=15,"Low",IF(Table1[[#This Row],[MEDV]]&lt;=25,"Mid","High"))</f>
        <v>Mid</v>
      </c>
      <c r="P203" t="str">
        <f>IF(Table1[[#This Row],[CRIM]]&lt;=1,"Low",IF(Table1[[#This Row],[CRIM]]&lt;=10,"Medium","High"))</f>
        <v>Low</v>
      </c>
      <c r="Q203" t="str">
        <f>IF(Table1[[#This Row],[RM]]&lt;=5.5,"Small",IF(Table1[[#This Row],[RM]]&lt;=6.5,"Medium","Large"))</f>
        <v>Medium</v>
      </c>
    </row>
    <row r="204" spans="1:17" x14ac:dyDescent="0.3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  <c r="O204" t="str">
        <f>IF(Table1[[#This Row],[MEDV]]&lt;=15,"Low",IF(Table1[[#This Row],[MEDV]]&lt;=25,"Mid","High"))</f>
        <v>High</v>
      </c>
      <c r="P204" t="str">
        <f>IF(Table1[[#This Row],[CRIM]]&lt;=1,"Low",IF(Table1[[#This Row],[CRIM]]&lt;=10,"Medium","High"))</f>
        <v>Low</v>
      </c>
      <c r="Q204" t="str">
        <f>IF(Table1[[#This Row],[RM]]&lt;=5.5,"Small",IF(Table1[[#This Row],[RM]]&lt;=6.5,"Medium","Large"))</f>
        <v>Large</v>
      </c>
    </row>
    <row r="205" spans="1:17" x14ac:dyDescent="0.3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  <c r="O205" t="str">
        <f>IF(Table1[[#This Row],[MEDV]]&lt;=15,"Low",IF(Table1[[#This Row],[MEDV]]&lt;=25,"Mid","High"))</f>
        <v>High</v>
      </c>
      <c r="P205" t="str">
        <f>IF(Table1[[#This Row],[CRIM]]&lt;=1,"Low",IF(Table1[[#This Row],[CRIM]]&lt;=10,"Medium","High"))</f>
        <v>Low</v>
      </c>
      <c r="Q205" t="str">
        <f>IF(Table1[[#This Row],[RM]]&lt;=5.5,"Small",IF(Table1[[#This Row],[RM]]&lt;=6.5,"Medium","Large"))</f>
        <v>Large</v>
      </c>
    </row>
    <row r="206" spans="1:17" x14ac:dyDescent="0.3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  <c r="O206" t="str">
        <f>IF(Table1[[#This Row],[MEDV]]&lt;=15,"Low",IF(Table1[[#This Row],[MEDV]]&lt;=25,"Mid","High"))</f>
        <v>High</v>
      </c>
      <c r="P206" t="str">
        <f>IF(Table1[[#This Row],[CRIM]]&lt;=1,"Low",IF(Table1[[#This Row],[CRIM]]&lt;=10,"Medium","High"))</f>
        <v>Low</v>
      </c>
      <c r="Q206" t="str">
        <f>IF(Table1[[#This Row],[RM]]&lt;=5.5,"Small",IF(Table1[[#This Row],[RM]]&lt;=6.5,"Medium","Large"))</f>
        <v>Large</v>
      </c>
    </row>
    <row r="207" spans="1:17" x14ac:dyDescent="0.3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  <c r="O207" t="str">
        <f>IF(Table1[[#This Row],[MEDV]]&lt;=15,"Low",IF(Table1[[#This Row],[MEDV]]&lt;=25,"Mid","High"))</f>
        <v>Mid</v>
      </c>
      <c r="P207" t="str">
        <f>IF(Table1[[#This Row],[CRIM]]&lt;=1,"Low",IF(Table1[[#This Row],[CRIM]]&lt;=10,"Medium","High"))</f>
        <v>Low</v>
      </c>
      <c r="Q207" t="str">
        <f>IF(Table1[[#This Row],[RM]]&lt;=5.5,"Small",IF(Table1[[#This Row],[RM]]&lt;=6.5,"Medium","Large"))</f>
        <v>Medium</v>
      </c>
    </row>
    <row r="208" spans="1:17" x14ac:dyDescent="0.3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  <c r="O208" t="str">
        <f>IF(Table1[[#This Row],[MEDV]]&lt;=15,"Low",IF(Table1[[#This Row],[MEDV]]&lt;=25,"Mid","High"))</f>
        <v>Mid</v>
      </c>
      <c r="P208" t="str">
        <f>IF(Table1[[#This Row],[CRIM]]&lt;=1,"Low",IF(Table1[[#This Row],[CRIM]]&lt;=10,"Medium","High"))</f>
        <v>Low</v>
      </c>
      <c r="Q208" t="str">
        <f>IF(Table1[[#This Row],[RM]]&lt;=5.5,"Small",IF(Table1[[#This Row],[RM]]&lt;=6.5,"Medium","Large"))</f>
        <v>Medium</v>
      </c>
    </row>
    <row r="209" spans="1:17" x14ac:dyDescent="0.3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  <c r="O209" t="str">
        <f>IF(Table1[[#This Row],[MEDV]]&lt;=15,"Low",IF(Table1[[#This Row],[MEDV]]&lt;=25,"Mid","High"))</f>
        <v>Mid</v>
      </c>
      <c r="P209" t="str">
        <f>IF(Table1[[#This Row],[CRIM]]&lt;=1,"Low",IF(Table1[[#This Row],[CRIM]]&lt;=10,"Medium","High"))</f>
        <v>Low</v>
      </c>
      <c r="Q209" t="str">
        <f>IF(Table1[[#This Row],[RM]]&lt;=5.5,"Small",IF(Table1[[#This Row],[RM]]&lt;=6.5,"Medium","Large"))</f>
        <v>Medium</v>
      </c>
    </row>
    <row r="210" spans="1:17" x14ac:dyDescent="0.3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  <c r="O210" t="str">
        <f>IF(Table1[[#This Row],[MEDV]]&lt;=15,"Low",IF(Table1[[#This Row],[MEDV]]&lt;=25,"Mid","High"))</f>
        <v>Mid</v>
      </c>
      <c r="P210" t="str">
        <f>IF(Table1[[#This Row],[CRIM]]&lt;=1,"Low",IF(Table1[[#This Row],[CRIM]]&lt;=10,"Medium","High"))</f>
        <v>Low</v>
      </c>
      <c r="Q210" t="str">
        <f>IF(Table1[[#This Row],[RM]]&lt;=5.5,"Small",IF(Table1[[#This Row],[RM]]&lt;=6.5,"Medium","Large"))</f>
        <v>Medium</v>
      </c>
    </row>
    <row r="211" spans="1:17" x14ac:dyDescent="0.3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  <c r="O211" t="str">
        <f>IF(Table1[[#This Row],[MEDV]]&lt;=15,"Low",IF(Table1[[#This Row],[MEDV]]&lt;=25,"Mid","High"))</f>
        <v>Mid</v>
      </c>
      <c r="P211" t="str">
        <f>IF(Table1[[#This Row],[CRIM]]&lt;=1,"Low",IF(Table1[[#This Row],[CRIM]]&lt;=10,"Medium","High"))</f>
        <v>Low</v>
      </c>
      <c r="Q211" t="str">
        <f>IF(Table1[[#This Row],[RM]]&lt;=5.5,"Small",IF(Table1[[#This Row],[RM]]&lt;=6.5,"Medium","Large"))</f>
        <v>Small</v>
      </c>
    </row>
    <row r="212" spans="1:17" x14ac:dyDescent="0.3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  <c r="O212" t="str">
        <f>IF(Table1[[#This Row],[MEDV]]&lt;=15,"Low",IF(Table1[[#This Row],[MEDV]]&lt;=25,"Mid","High"))</f>
        <v>Mid</v>
      </c>
      <c r="P212" t="str">
        <f>IF(Table1[[#This Row],[CRIM]]&lt;=1,"Low",IF(Table1[[#This Row],[CRIM]]&lt;=10,"Medium","High"))</f>
        <v>Low</v>
      </c>
      <c r="Q212" t="str">
        <f>IF(Table1[[#This Row],[RM]]&lt;=5.5,"Small",IF(Table1[[#This Row],[RM]]&lt;=6.5,"Medium","Large"))</f>
        <v>Medium</v>
      </c>
    </row>
    <row r="213" spans="1:17" x14ac:dyDescent="0.3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  <c r="O213" t="str">
        <f>IF(Table1[[#This Row],[MEDV]]&lt;=15,"Low",IF(Table1[[#This Row],[MEDV]]&lt;=25,"Mid","High"))</f>
        <v>Mid</v>
      </c>
      <c r="P213" t="str">
        <f>IF(Table1[[#This Row],[CRIM]]&lt;=1,"Low",IF(Table1[[#This Row],[CRIM]]&lt;=10,"Medium","High"))</f>
        <v>Low</v>
      </c>
      <c r="Q213" t="str">
        <f>IF(Table1[[#This Row],[RM]]&lt;=5.5,"Small",IF(Table1[[#This Row],[RM]]&lt;=6.5,"Medium","Large"))</f>
        <v>Small</v>
      </c>
    </row>
    <row r="214" spans="1:17" x14ac:dyDescent="0.3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  <c r="O214" t="str">
        <f>IF(Table1[[#This Row],[MEDV]]&lt;=15,"Low",IF(Table1[[#This Row],[MEDV]]&lt;=25,"Mid","High"))</f>
        <v>Mid</v>
      </c>
      <c r="P214" t="str">
        <f>IF(Table1[[#This Row],[CRIM]]&lt;=1,"Low",IF(Table1[[#This Row],[CRIM]]&lt;=10,"Medium","High"))</f>
        <v>Low</v>
      </c>
      <c r="Q214" t="str">
        <f>IF(Table1[[#This Row],[RM]]&lt;=5.5,"Small",IF(Table1[[#This Row],[RM]]&lt;=6.5,"Medium","Large"))</f>
        <v>Medium</v>
      </c>
    </row>
    <row r="215" spans="1:17" x14ac:dyDescent="0.3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  <c r="O215" t="str">
        <f>IF(Table1[[#This Row],[MEDV]]&lt;=15,"Low",IF(Table1[[#This Row],[MEDV]]&lt;=25,"Mid","High"))</f>
        <v>High</v>
      </c>
      <c r="P215" t="str">
        <f>IF(Table1[[#This Row],[CRIM]]&lt;=1,"Low",IF(Table1[[#This Row],[CRIM]]&lt;=10,"Medium","High"))</f>
        <v>Low</v>
      </c>
      <c r="Q215" t="str">
        <f>IF(Table1[[#This Row],[RM]]&lt;=5.5,"Small",IF(Table1[[#This Row],[RM]]&lt;=6.5,"Medium","Large"))</f>
        <v>Medium</v>
      </c>
    </row>
    <row r="216" spans="1:17" x14ac:dyDescent="0.3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  <c r="O216" t="str">
        <f>IF(Table1[[#This Row],[MEDV]]&lt;=15,"Low",IF(Table1[[#This Row],[MEDV]]&lt;=25,"Mid","High"))</f>
        <v>Mid</v>
      </c>
      <c r="P216" t="str">
        <f>IF(Table1[[#This Row],[CRIM]]&lt;=1,"Low",IF(Table1[[#This Row],[CRIM]]&lt;=10,"Medium","High"))</f>
        <v>Low</v>
      </c>
      <c r="Q216" t="str">
        <f>IF(Table1[[#This Row],[RM]]&lt;=5.5,"Small",IF(Table1[[#This Row],[RM]]&lt;=6.5,"Medium","Large"))</f>
        <v>Small</v>
      </c>
    </row>
    <row r="217" spans="1:17" x14ac:dyDescent="0.3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  <c r="O217" t="str">
        <f>IF(Table1[[#This Row],[MEDV]]&lt;=15,"Low",IF(Table1[[#This Row],[MEDV]]&lt;=25,"Mid","High"))</f>
        <v>Mid</v>
      </c>
      <c r="P217" t="str">
        <f>IF(Table1[[#This Row],[CRIM]]&lt;=1,"Low",IF(Table1[[#This Row],[CRIM]]&lt;=10,"Medium","High"))</f>
        <v>Low</v>
      </c>
      <c r="Q217" t="str">
        <f>IF(Table1[[#This Row],[RM]]&lt;=5.5,"Small",IF(Table1[[#This Row],[RM]]&lt;=6.5,"Medium","Large"))</f>
        <v>Medium</v>
      </c>
    </row>
    <row r="218" spans="1:17" x14ac:dyDescent="0.3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  <c r="O218" t="str">
        <f>IF(Table1[[#This Row],[MEDV]]&lt;=15,"Low",IF(Table1[[#This Row],[MEDV]]&lt;=25,"Mid","High"))</f>
        <v>Mid</v>
      </c>
      <c r="P218" t="str">
        <f>IF(Table1[[#This Row],[CRIM]]&lt;=1,"Low",IF(Table1[[#This Row],[CRIM]]&lt;=10,"Medium","High"))</f>
        <v>Low</v>
      </c>
      <c r="Q218" t="str">
        <f>IF(Table1[[#This Row],[RM]]&lt;=5.5,"Small",IF(Table1[[#This Row],[RM]]&lt;=6.5,"Medium","Large"))</f>
        <v>Medium</v>
      </c>
    </row>
    <row r="219" spans="1:17" x14ac:dyDescent="0.3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  <c r="O219" t="str">
        <f>IF(Table1[[#This Row],[MEDV]]&lt;=15,"Low",IF(Table1[[#This Row],[MEDV]]&lt;=25,"Mid","High"))</f>
        <v>High</v>
      </c>
      <c r="P219" t="str">
        <f>IF(Table1[[#This Row],[CRIM]]&lt;=1,"Low",IF(Table1[[#This Row],[CRIM]]&lt;=10,"Medium","High"))</f>
        <v>Low</v>
      </c>
      <c r="Q219" t="str">
        <f>IF(Table1[[#This Row],[RM]]&lt;=5.5,"Small",IF(Table1[[#This Row],[RM]]&lt;=6.5,"Medium","Large"))</f>
        <v>Large</v>
      </c>
    </row>
    <row r="220" spans="1:17" x14ac:dyDescent="0.3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  <c r="O220" t="str">
        <f>IF(Table1[[#This Row],[MEDV]]&lt;=15,"Low",IF(Table1[[#This Row],[MEDV]]&lt;=25,"Mid","High"))</f>
        <v>Mid</v>
      </c>
      <c r="P220" t="str">
        <f>IF(Table1[[#This Row],[CRIM]]&lt;=1,"Low",IF(Table1[[#This Row],[CRIM]]&lt;=10,"Medium","High"))</f>
        <v>Low</v>
      </c>
      <c r="Q220" t="str">
        <f>IF(Table1[[#This Row],[RM]]&lt;=5.5,"Small",IF(Table1[[#This Row],[RM]]&lt;=6.5,"Medium","Large"))</f>
        <v>Medium</v>
      </c>
    </row>
    <row r="221" spans="1:17" x14ac:dyDescent="0.3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  <c r="O221" t="str">
        <f>IF(Table1[[#This Row],[MEDV]]&lt;=15,"Low",IF(Table1[[#This Row],[MEDV]]&lt;=25,"Mid","High"))</f>
        <v>Mid</v>
      </c>
      <c r="P221" t="str">
        <f>IF(Table1[[#This Row],[CRIM]]&lt;=1,"Low",IF(Table1[[#This Row],[CRIM]]&lt;=10,"Medium","High"))</f>
        <v>Low</v>
      </c>
      <c r="Q221" t="str">
        <f>IF(Table1[[#This Row],[RM]]&lt;=5.5,"Small",IF(Table1[[#This Row],[RM]]&lt;=6.5,"Medium","Large"))</f>
        <v>Medium</v>
      </c>
    </row>
    <row r="222" spans="1:17" x14ac:dyDescent="0.3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  <c r="O222" t="str">
        <f>IF(Table1[[#This Row],[MEDV]]&lt;=15,"Low",IF(Table1[[#This Row],[MEDV]]&lt;=25,"Mid","High"))</f>
        <v>High</v>
      </c>
      <c r="P222" t="str">
        <f>IF(Table1[[#This Row],[CRIM]]&lt;=1,"Low",IF(Table1[[#This Row],[CRIM]]&lt;=10,"Medium","High"))</f>
        <v>Low</v>
      </c>
      <c r="Q222" t="str">
        <f>IF(Table1[[#This Row],[RM]]&lt;=5.5,"Small",IF(Table1[[#This Row],[RM]]&lt;=6.5,"Medium","Large"))</f>
        <v>Large</v>
      </c>
    </row>
    <row r="223" spans="1:17" x14ac:dyDescent="0.3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  <c r="O223" t="str">
        <f>IF(Table1[[#This Row],[MEDV]]&lt;=15,"Low",IF(Table1[[#This Row],[MEDV]]&lt;=25,"Mid","High"))</f>
        <v>Mid</v>
      </c>
      <c r="P223" t="str">
        <f>IF(Table1[[#This Row],[CRIM]]&lt;=1,"Low",IF(Table1[[#This Row],[CRIM]]&lt;=10,"Medium","High"))</f>
        <v>Low</v>
      </c>
      <c r="Q223" t="str">
        <f>IF(Table1[[#This Row],[RM]]&lt;=5.5,"Small",IF(Table1[[#This Row],[RM]]&lt;=6.5,"Medium","Large"))</f>
        <v>Medium</v>
      </c>
    </row>
    <row r="224" spans="1:17" x14ac:dyDescent="0.3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  <c r="O224" t="str">
        <f>IF(Table1[[#This Row],[MEDV]]&lt;=15,"Low",IF(Table1[[#This Row],[MEDV]]&lt;=25,"Mid","High"))</f>
        <v>High</v>
      </c>
      <c r="P224" t="str">
        <f>IF(Table1[[#This Row],[CRIM]]&lt;=1,"Low",IF(Table1[[#This Row],[CRIM]]&lt;=10,"Medium","High"))</f>
        <v>Low</v>
      </c>
      <c r="Q224" t="str">
        <f>IF(Table1[[#This Row],[RM]]&lt;=5.5,"Small",IF(Table1[[#This Row],[RM]]&lt;=6.5,"Medium","Large"))</f>
        <v>Large</v>
      </c>
    </row>
    <row r="225" spans="1:17" x14ac:dyDescent="0.3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  <c r="O225" t="str">
        <f>IF(Table1[[#This Row],[MEDV]]&lt;=15,"Low",IF(Table1[[#This Row],[MEDV]]&lt;=25,"Mid","High"))</f>
        <v>High</v>
      </c>
      <c r="P225" t="str">
        <f>IF(Table1[[#This Row],[CRIM]]&lt;=1,"Low",IF(Table1[[#This Row],[CRIM]]&lt;=10,"Medium","High"))</f>
        <v>Low</v>
      </c>
      <c r="Q225" t="str">
        <f>IF(Table1[[#This Row],[RM]]&lt;=5.5,"Small",IF(Table1[[#This Row],[RM]]&lt;=6.5,"Medium","Large"))</f>
        <v>Large</v>
      </c>
    </row>
    <row r="226" spans="1:17" x14ac:dyDescent="0.3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  <c r="O226" t="str">
        <f>IF(Table1[[#This Row],[MEDV]]&lt;=15,"Low",IF(Table1[[#This Row],[MEDV]]&lt;=25,"Mid","High"))</f>
        <v>High</v>
      </c>
      <c r="P226" t="str">
        <f>IF(Table1[[#This Row],[CRIM]]&lt;=1,"Low",IF(Table1[[#This Row],[CRIM]]&lt;=10,"Medium","High"))</f>
        <v>Low</v>
      </c>
      <c r="Q226" t="str">
        <f>IF(Table1[[#This Row],[RM]]&lt;=5.5,"Small",IF(Table1[[#This Row],[RM]]&lt;=6.5,"Medium","Large"))</f>
        <v>Large</v>
      </c>
    </row>
    <row r="227" spans="1:17" x14ac:dyDescent="0.3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  <c r="O227" t="str">
        <f>IF(Table1[[#This Row],[MEDV]]&lt;=15,"Low",IF(Table1[[#This Row],[MEDV]]&lt;=25,"Mid","High"))</f>
        <v>High</v>
      </c>
      <c r="P227" t="str">
        <f>IF(Table1[[#This Row],[CRIM]]&lt;=1,"Low",IF(Table1[[#This Row],[CRIM]]&lt;=10,"Medium","High"))</f>
        <v>Low</v>
      </c>
      <c r="Q227" t="str">
        <f>IF(Table1[[#This Row],[RM]]&lt;=5.5,"Small",IF(Table1[[#This Row],[RM]]&lt;=6.5,"Medium","Large"))</f>
        <v>Large</v>
      </c>
    </row>
    <row r="228" spans="1:17" x14ac:dyDescent="0.3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  <c r="O228" t="str">
        <f>IF(Table1[[#This Row],[MEDV]]&lt;=15,"Low",IF(Table1[[#This Row],[MEDV]]&lt;=25,"Mid","High"))</f>
        <v>High</v>
      </c>
      <c r="P228" t="str">
        <f>IF(Table1[[#This Row],[CRIM]]&lt;=1,"Low",IF(Table1[[#This Row],[CRIM]]&lt;=10,"Medium","High"))</f>
        <v>Low</v>
      </c>
      <c r="Q228" t="str">
        <f>IF(Table1[[#This Row],[RM]]&lt;=5.5,"Small",IF(Table1[[#This Row],[RM]]&lt;=6.5,"Medium","Large"))</f>
        <v>Large</v>
      </c>
    </row>
    <row r="229" spans="1:17" x14ac:dyDescent="0.3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  <c r="O229" t="str">
        <f>IF(Table1[[#This Row],[MEDV]]&lt;=15,"Low",IF(Table1[[#This Row],[MEDV]]&lt;=25,"Mid","High"))</f>
        <v>High</v>
      </c>
      <c r="P229" t="str">
        <f>IF(Table1[[#This Row],[CRIM]]&lt;=1,"Low",IF(Table1[[#This Row],[CRIM]]&lt;=10,"Medium","High"))</f>
        <v>Low</v>
      </c>
      <c r="Q229" t="str">
        <f>IF(Table1[[#This Row],[RM]]&lt;=5.5,"Small",IF(Table1[[#This Row],[RM]]&lt;=6.5,"Medium","Large"))</f>
        <v>Large</v>
      </c>
    </row>
    <row r="230" spans="1:17" x14ac:dyDescent="0.3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  <c r="O230" t="str">
        <f>IF(Table1[[#This Row],[MEDV]]&lt;=15,"Low",IF(Table1[[#This Row],[MEDV]]&lt;=25,"Mid","High"))</f>
        <v>High</v>
      </c>
      <c r="P230" t="str">
        <f>IF(Table1[[#This Row],[CRIM]]&lt;=1,"Low",IF(Table1[[#This Row],[CRIM]]&lt;=10,"Medium","High"))</f>
        <v>Low</v>
      </c>
      <c r="Q230" t="str">
        <f>IF(Table1[[#This Row],[RM]]&lt;=5.5,"Small",IF(Table1[[#This Row],[RM]]&lt;=6.5,"Medium","Large"))</f>
        <v>Large</v>
      </c>
    </row>
    <row r="231" spans="1:17" x14ac:dyDescent="0.3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  <c r="O231" t="str">
        <f>IF(Table1[[#This Row],[MEDV]]&lt;=15,"Low",IF(Table1[[#This Row],[MEDV]]&lt;=25,"Mid","High"))</f>
        <v>High</v>
      </c>
      <c r="P231" t="str">
        <f>IF(Table1[[#This Row],[CRIM]]&lt;=1,"Low",IF(Table1[[#This Row],[CRIM]]&lt;=10,"Medium","High"))</f>
        <v>Low</v>
      </c>
      <c r="Q231" t="str">
        <f>IF(Table1[[#This Row],[RM]]&lt;=5.5,"Small",IF(Table1[[#This Row],[RM]]&lt;=6.5,"Medium","Large"))</f>
        <v>Large</v>
      </c>
    </row>
    <row r="232" spans="1:17" x14ac:dyDescent="0.3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  <c r="O232" t="str">
        <f>IF(Table1[[#This Row],[MEDV]]&lt;=15,"Low",IF(Table1[[#This Row],[MEDV]]&lt;=25,"Mid","High"))</f>
        <v>Mid</v>
      </c>
      <c r="P232" t="str">
        <f>IF(Table1[[#This Row],[CRIM]]&lt;=1,"Low",IF(Table1[[#This Row],[CRIM]]&lt;=10,"Medium","High"))</f>
        <v>Low</v>
      </c>
      <c r="Q232" t="str">
        <f>IF(Table1[[#This Row],[RM]]&lt;=5.5,"Small",IF(Table1[[#This Row],[RM]]&lt;=6.5,"Medium","Large"))</f>
        <v>Medium</v>
      </c>
    </row>
    <row r="233" spans="1:17" x14ac:dyDescent="0.3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  <c r="O233" t="str">
        <f>IF(Table1[[#This Row],[MEDV]]&lt;=15,"Low",IF(Table1[[#This Row],[MEDV]]&lt;=25,"Mid","High"))</f>
        <v>High</v>
      </c>
      <c r="P233" t="str">
        <f>IF(Table1[[#This Row],[CRIM]]&lt;=1,"Low",IF(Table1[[#This Row],[CRIM]]&lt;=10,"Medium","High"))</f>
        <v>Low</v>
      </c>
      <c r="Q233" t="str">
        <f>IF(Table1[[#This Row],[RM]]&lt;=5.5,"Small",IF(Table1[[#This Row],[RM]]&lt;=6.5,"Medium","Large"))</f>
        <v>Large</v>
      </c>
    </row>
    <row r="234" spans="1:17" x14ac:dyDescent="0.3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  <c r="O234" t="str">
        <f>IF(Table1[[#This Row],[MEDV]]&lt;=15,"Low",IF(Table1[[#This Row],[MEDV]]&lt;=25,"Mid","High"))</f>
        <v>High</v>
      </c>
      <c r="P234" t="str">
        <f>IF(Table1[[#This Row],[CRIM]]&lt;=1,"Low",IF(Table1[[#This Row],[CRIM]]&lt;=10,"Medium","High"))</f>
        <v>Low</v>
      </c>
      <c r="Q234" t="str">
        <f>IF(Table1[[#This Row],[RM]]&lt;=5.5,"Small",IF(Table1[[#This Row],[RM]]&lt;=6.5,"Medium","Large"))</f>
        <v>Large</v>
      </c>
    </row>
    <row r="235" spans="1:17" x14ac:dyDescent="0.3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  <c r="O235" t="str">
        <f>IF(Table1[[#This Row],[MEDV]]&lt;=15,"Low",IF(Table1[[#This Row],[MEDV]]&lt;=25,"Mid","High"))</f>
        <v>High</v>
      </c>
      <c r="P235" t="str">
        <f>IF(Table1[[#This Row],[CRIM]]&lt;=1,"Low",IF(Table1[[#This Row],[CRIM]]&lt;=10,"Medium","High"))</f>
        <v>Low</v>
      </c>
      <c r="Q235" t="str">
        <f>IF(Table1[[#This Row],[RM]]&lt;=5.5,"Small",IF(Table1[[#This Row],[RM]]&lt;=6.5,"Medium","Large"))</f>
        <v>Large</v>
      </c>
    </row>
    <row r="236" spans="1:17" x14ac:dyDescent="0.3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  <c r="O236" t="str">
        <f>IF(Table1[[#This Row],[MEDV]]&lt;=15,"Low",IF(Table1[[#This Row],[MEDV]]&lt;=25,"Mid","High"))</f>
        <v>High</v>
      </c>
      <c r="P236" t="str">
        <f>IF(Table1[[#This Row],[CRIM]]&lt;=1,"Low",IF(Table1[[#This Row],[CRIM]]&lt;=10,"Medium","High"))</f>
        <v>Low</v>
      </c>
      <c r="Q236" t="str">
        <f>IF(Table1[[#This Row],[RM]]&lt;=5.5,"Small",IF(Table1[[#This Row],[RM]]&lt;=6.5,"Medium","Large"))</f>
        <v>Large</v>
      </c>
    </row>
    <row r="237" spans="1:17" x14ac:dyDescent="0.3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  <c r="O237" t="str">
        <f>IF(Table1[[#This Row],[MEDV]]&lt;=15,"Low",IF(Table1[[#This Row],[MEDV]]&lt;=25,"Mid","High"))</f>
        <v>Mid</v>
      </c>
      <c r="P237" t="str">
        <f>IF(Table1[[#This Row],[CRIM]]&lt;=1,"Low",IF(Table1[[#This Row],[CRIM]]&lt;=10,"Medium","High"))</f>
        <v>Low</v>
      </c>
      <c r="Q237" t="str">
        <f>IF(Table1[[#This Row],[RM]]&lt;=5.5,"Small",IF(Table1[[#This Row],[RM]]&lt;=6.5,"Medium","Large"))</f>
        <v>Medium</v>
      </c>
    </row>
    <row r="238" spans="1:17" x14ac:dyDescent="0.3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  <c r="O238" t="str">
        <f>IF(Table1[[#This Row],[MEDV]]&lt;=15,"Low",IF(Table1[[#This Row],[MEDV]]&lt;=25,"Mid","High"))</f>
        <v>High</v>
      </c>
      <c r="P238" t="str">
        <f>IF(Table1[[#This Row],[CRIM]]&lt;=1,"Low",IF(Table1[[#This Row],[CRIM]]&lt;=10,"Medium","High"))</f>
        <v>Low</v>
      </c>
      <c r="Q238" t="str">
        <f>IF(Table1[[#This Row],[RM]]&lt;=5.5,"Small",IF(Table1[[#This Row],[RM]]&lt;=6.5,"Medium","Large"))</f>
        <v>Large</v>
      </c>
    </row>
    <row r="239" spans="1:17" x14ac:dyDescent="0.3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  <c r="O239" t="str">
        <f>IF(Table1[[#This Row],[MEDV]]&lt;=15,"Low",IF(Table1[[#This Row],[MEDV]]&lt;=25,"Mid","High"))</f>
        <v>High</v>
      </c>
      <c r="P239" t="str">
        <f>IF(Table1[[#This Row],[CRIM]]&lt;=1,"Low",IF(Table1[[#This Row],[CRIM]]&lt;=10,"Medium","High"))</f>
        <v>Low</v>
      </c>
      <c r="Q239" t="str">
        <f>IF(Table1[[#This Row],[RM]]&lt;=5.5,"Small",IF(Table1[[#This Row],[RM]]&lt;=6.5,"Medium","Large"))</f>
        <v>Large</v>
      </c>
    </row>
    <row r="240" spans="1:17" x14ac:dyDescent="0.3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  <c r="O240" t="str">
        <f>IF(Table1[[#This Row],[MEDV]]&lt;=15,"Low",IF(Table1[[#This Row],[MEDV]]&lt;=25,"Mid","High"))</f>
        <v>Mid</v>
      </c>
      <c r="P240" t="str">
        <f>IF(Table1[[#This Row],[CRIM]]&lt;=1,"Low",IF(Table1[[#This Row],[CRIM]]&lt;=10,"Medium","High"))</f>
        <v>Low</v>
      </c>
      <c r="Q240" t="str">
        <f>IF(Table1[[#This Row],[RM]]&lt;=5.5,"Small",IF(Table1[[#This Row],[RM]]&lt;=6.5,"Medium","Large"))</f>
        <v>Medium</v>
      </c>
    </row>
    <row r="241" spans="1:17" x14ac:dyDescent="0.3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  <c r="O241" t="str">
        <f>IF(Table1[[#This Row],[MEDV]]&lt;=15,"Low",IF(Table1[[#This Row],[MEDV]]&lt;=25,"Mid","High"))</f>
        <v>Mid</v>
      </c>
      <c r="P241" t="str">
        <f>IF(Table1[[#This Row],[CRIM]]&lt;=1,"Low",IF(Table1[[#This Row],[CRIM]]&lt;=10,"Medium","High"))</f>
        <v>Low</v>
      </c>
      <c r="Q241" t="str">
        <f>IF(Table1[[#This Row],[RM]]&lt;=5.5,"Small",IF(Table1[[#This Row],[RM]]&lt;=6.5,"Medium","Large"))</f>
        <v>Large</v>
      </c>
    </row>
    <row r="242" spans="1:17" x14ac:dyDescent="0.3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  <c r="O242" t="str">
        <f>IF(Table1[[#This Row],[MEDV]]&lt;=15,"Low",IF(Table1[[#This Row],[MEDV]]&lt;=25,"Mid","High"))</f>
        <v>Mid</v>
      </c>
      <c r="P242" t="str">
        <f>IF(Table1[[#This Row],[CRIM]]&lt;=1,"Low",IF(Table1[[#This Row],[CRIM]]&lt;=10,"Medium","High"))</f>
        <v>Low</v>
      </c>
      <c r="Q242" t="str">
        <f>IF(Table1[[#This Row],[RM]]&lt;=5.5,"Small",IF(Table1[[#This Row],[RM]]&lt;=6.5,"Medium","Large"))</f>
        <v>Large</v>
      </c>
    </row>
    <row r="243" spans="1:17" x14ac:dyDescent="0.3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  <c r="O243" t="str">
        <f>IF(Table1[[#This Row],[MEDV]]&lt;=15,"Low",IF(Table1[[#This Row],[MEDV]]&lt;=25,"Mid","High"))</f>
        <v>Mid</v>
      </c>
      <c r="P243" t="str">
        <f>IF(Table1[[#This Row],[CRIM]]&lt;=1,"Low",IF(Table1[[#This Row],[CRIM]]&lt;=10,"Medium","High"))</f>
        <v>Low</v>
      </c>
      <c r="Q243" t="str">
        <f>IF(Table1[[#This Row],[RM]]&lt;=5.5,"Small",IF(Table1[[#This Row],[RM]]&lt;=6.5,"Medium","Large"))</f>
        <v>Medium</v>
      </c>
    </row>
    <row r="244" spans="1:17" x14ac:dyDescent="0.3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  <c r="O244" t="str">
        <f>IF(Table1[[#This Row],[MEDV]]&lt;=15,"Low",IF(Table1[[#This Row],[MEDV]]&lt;=25,"Mid","High"))</f>
        <v>Mid</v>
      </c>
      <c r="P244" t="str">
        <f>IF(Table1[[#This Row],[CRIM]]&lt;=1,"Low",IF(Table1[[#This Row],[CRIM]]&lt;=10,"Medium","High"))</f>
        <v>Low</v>
      </c>
      <c r="Q244" t="str">
        <f>IF(Table1[[#This Row],[RM]]&lt;=5.5,"Small",IF(Table1[[#This Row],[RM]]&lt;=6.5,"Medium","Large"))</f>
        <v>Medium</v>
      </c>
    </row>
    <row r="245" spans="1:17" x14ac:dyDescent="0.3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  <c r="O245" t="str">
        <f>IF(Table1[[#This Row],[MEDV]]&lt;=15,"Low",IF(Table1[[#This Row],[MEDV]]&lt;=25,"Mid","High"))</f>
        <v>Mid</v>
      </c>
      <c r="P245" t="str">
        <f>IF(Table1[[#This Row],[CRIM]]&lt;=1,"Low",IF(Table1[[#This Row],[CRIM]]&lt;=10,"Medium","High"))</f>
        <v>Low</v>
      </c>
      <c r="Q245" t="str">
        <f>IF(Table1[[#This Row],[RM]]&lt;=5.5,"Small",IF(Table1[[#This Row],[RM]]&lt;=6.5,"Medium","Large"))</f>
        <v>Medium</v>
      </c>
    </row>
    <row r="246" spans="1:17" x14ac:dyDescent="0.3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  <c r="O246" t="str">
        <f>IF(Table1[[#This Row],[MEDV]]&lt;=15,"Low",IF(Table1[[#This Row],[MEDV]]&lt;=25,"Mid","High"))</f>
        <v>Mid</v>
      </c>
      <c r="P246" t="str">
        <f>IF(Table1[[#This Row],[CRIM]]&lt;=1,"Low",IF(Table1[[#This Row],[CRIM]]&lt;=10,"Medium","High"))</f>
        <v>Low</v>
      </c>
      <c r="Q246" t="str">
        <f>IF(Table1[[#This Row],[RM]]&lt;=5.5,"Small",IF(Table1[[#This Row],[RM]]&lt;=6.5,"Medium","Large"))</f>
        <v>Medium</v>
      </c>
    </row>
    <row r="247" spans="1:17" x14ac:dyDescent="0.3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  <c r="O247" t="str">
        <f>IF(Table1[[#This Row],[MEDV]]&lt;=15,"Low",IF(Table1[[#This Row],[MEDV]]&lt;=25,"Mid","High"))</f>
        <v>Mid</v>
      </c>
      <c r="P247" t="str">
        <f>IF(Table1[[#This Row],[CRIM]]&lt;=1,"Low",IF(Table1[[#This Row],[CRIM]]&lt;=10,"Medium","High"))</f>
        <v>Low</v>
      </c>
      <c r="Q247" t="str">
        <f>IF(Table1[[#This Row],[RM]]&lt;=5.5,"Small",IF(Table1[[#This Row],[RM]]&lt;=6.5,"Medium","Large"))</f>
        <v>Medium</v>
      </c>
    </row>
    <row r="248" spans="1:17" x14ac:dyDescent="0.3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  <c r="O248" t="str">
        <f>IF(Table1[[#This Row],[MEDV]]&lt;=15,"Low",IF(Table1[[#This Row],[MEDV]]&lt;=25,"Mid","High"))</f>
        <v>Mid</v>
      </c>
      <c r="P248" t="str">
        <f>IF(Table1[[#This Row],[CRIM]]&lt;=1,"Low",IF(Table1[[#This Row],[CRIM]]&lt;=10,"Medium","High"))</f>
        <v>Low</v>
      </c>
      <c r="Q248" t="str">
        <f>IF(Table1[[#This Row],[RM]]&lt;=5.5,"Small",IF(Table1[[#This Row],[RM]]&lt;=6.5,"Medium","Large"))</f>
        <v>Medium</v>
      </c>
    </row>
    <row r="249" spans="1:17" x14ac:dyDescent="0.3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  <c r="O249" t="str">
        <f>IF(Table1[[#This Row],[MEDV]]&lt;=15,"Low",IF(Table1[[#This Row],[MEDV]]&lt;=25,"Mid","High"))</f>
        <v>Mid</v>
      </c>
      <c r="P249" t="str">
        <f>IF(Table1[[#This Row],[CRIM]]&lt;=1,"Low",IF(Table1[[#This Row],[CRIM]]&lt;=10,"Medium","High"))</f>
        <v>Low</v>
      </c>
      <c r="Q249" t="str">
        <f>IF(Table1[[#This Row],[RM]]&lt;=5.5,"Small",IF(Table1[[#This Row],[RM]]&lt;=6.5,"Medium","Large"))</f>
        <v>Medium</v>
      </c>
    </row>
    <row r="250" spans="1:17" x14ac:dyDescent="0.3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  <c r="O250" t="str">
        <f>IF(Table1[[#This Row],[MEDV]]&lt;=15,"Low",IF(Table1[[#This Row],[MEDV]]&lt;=25,"Mid","High"))</f>
        <v>Mid</v>
      </c>
      <c r="P250" t="str">
        <f>IF(Table1[[#This Row],[CRIM]]&lt;=1,"Low",IF(Table1[[#This Row],[CRIM]]&lt;=10,"Medium","High"))</f>
        <v>Low</v>
      </c>
      <c r="Q250" t="str">
        <f>IF(Table1[[#This Row],[RM]]&lt;=5.5,"Small",IF(Table1[[#This Row],[RM]]&lt;=6.5,"Medium","Large"))</f>
        <v>Medium</v>
      </c>
    </row>
    <row r="251" spans="1:17" x14ac:dyDescent="0.3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  <c r="O251" t="str">
        <f>IF(Table1[[#This Row],[MEDV]]&lt;=15,"Low",IF(Table1[[#This Row],[MEDV]]&lt;=25,"Mid","High"))</f>
        <v>High</v>
      </c>
      <c r="P251" t="str">
        <f>IF(Table1[[#This Row],[CRIM]]&lt;=1,"Low",IF(Table1[[#This Row],[CRIM]]&lt;=10,"Medium","High"))</f>
        <v>Low</v>
      </c>
      <c r="Q251" t="str">
        <f>IF(Table1[[#This Row],[RM]]&lt;=5.5,"Small",IF(Table1[[#This Row],[RM]]&lt;=6.5,"Medium","Large"))</f>
        <v>Large</v>
      </c>
    </row>
    <row r="252" spans="1:17" x14ac:dyDescent="0.3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  <c r="O252" t="str">
        <f>IF(Table1[[#This Row],[MEDV]]&lt;=15,"Low",IF(Table1[[#This Row],[MEDV]]&lt;=25,"Mid","High"))</f>
        <v>Mid</v>
      </c>
      <c r="P252" t="str">
        <f>IF(Table1[[#This Row],[CRIM]]&lt;=1,"Low",IF(Table1[[#This Row],[CRIM]]&lt;=10,"Medium","High"))</f>
        <v>Low</v>
      </c>
      <c r="Q252" t="str">
        <f>IF(Table1[[#This Row],[RM]]&lt;=5.5,"Small",IF(Table1[[#This Row],[RM]]&lt;=6.5,"Medium","Large"))</f>
        <v>Medium</v>
      </c>
    </row>
    <row r="253" spans="1:17" x14ac:dyDescent="0.3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  <c r="O253" t="str">
        <f>IF(Table1[[#This Row],[MEDV]]&lt;=15,"Low",IF(Table1[[#This Row],[MEDV]]&lt;=25,"Mid","High"))</f>
        <v>Mid</v>
      </c>
      <c r="P253" t="str">
        <f>IF(Table1[[#This Row],[CRIM]]&lt;=1,"Low",IF(Table1[[#This Row],[CRIM]]&lt;=10,"Medium","High"))</f>
        <v>Low</v>
      </c>
      <c r="Q253" t="str">
        <f>IF(Table1[[#This Row],[RM]]&lt;=5.5,"Small",IF(Table1[[#This Row],[RM]]&lt;=6.5,"Medium","Large"))</f>
        <v>Medium</v>
      </c>
    </row>
    <row r="254" spans="1:17" x14ac:dyDescent="0.3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  <c r="O254" t="str">
        <f>IF(Table1[[#This Row],[MEDV]]&lt;=15,"Low",IF(Table1[[#This Row],[MEDV]]&lt;=25,"Mid","High"))</f>
        <v>High</v>
      </c>
      <c r="P254" t="str">
        <f>IF(Table1[[#This Row],[CRIM]]&lt;=1,"Low",IF(Table1[[#This Row],[CRIM]]&lt;=10,"Medium","High"))</f>
        <v>Low</v>
      </c>
      <c r="Q254" t="str">
        <f>IF(Table1[[#This Row],[RM]]&lt;=5.5,"Small",IF(Table1[[#This Row],[RM]]&lt;=6.5,"Medium","Large"))</f>
        <v>Large</v>
      </c>
    </row>
    <row r="255" spans="1:17" x14ac:dyDescent="0.3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  <c r="O255" t="str">
        <f>IF(Table1[[#This Row],[MEDV]]&lt;=15,"Low",IF(Table1[[#This Row],[MEDV]]&lt;=25,"Mid","High"))</f>
        <v>High</v>
      </c>
      <c r="P255" t="str">
        <f>IF(Table1[[#This Row],[CRIM]]&lt;=1,"Low",IF(Table1[[#This Row],[CRIM]]&lt;=10,"Medium","High"))</f>
        <v>Low</v>
      </c>
      <c r="Q255" t="str">
        <f>IF(Table1[[#This Row],[RM]]&lt;=5.5,"Small",IF(Table1[[#This Row],[RM]]&lt;=6.5,"Medium","Large"))</f>
        <v>Large</v>
      </c>
    </row>
    <row r="256" spans="1:17" x14ac:dyDescent="0.3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  <c r="O256" t="str">
        <f>IF(Table1[[#This Row],[MEDV]]&lt;=15,"Low",IF(Table1[[#This Row],[MEDV]]&lt;=25,"Mid","High"))</f>
        <v>Mid</v>
      </c>
      <c r="P256" t="str">
        <f>IF(Table1[[#This Row],[CRIM]]&lt;=1,"Low",IF(Table1[[#This Row],[CRIM]]&lt;=10,"Medium","High"))</f>
        <v>Low</v>
      </c>
      <c r="Q256" t="str">
        <f>IF(Table1[[#This Row],[RM]]&lt;=5.5,"Small",IF(Table1[[#This Row],[RM]]&lt;=6.5,"Medium","Large"))</f>
        <v>Medium</v>
      </c>
    </row>
    <row r="257" spans="1:17" x14ac:dyDescent="0.3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  <c r="O257" t="str">
        <f>IF(Table1[[#This Row],[MEDV]]&lt;=15,"Low",IF(Table1[[#This Row],[MEDV]]&lt;=25,"Mid","High"))</f>
        <v>Mid</v>
      </c>
      <c r="P257" t="str">
        <f>IF(Table1[[#This Row],[CRIM]]&lt;=1,"Low",IF(Table1[[#This Row],[CRIM]]&lt;=10,"Medium","High"))</f>
        <v>Low</v>
      </c>
      <c r="Q257" t="str">
        <f>IF(Table1[[#This Row],[RM]]&lt;=5.5,"Small",IF(Table1[[#This Row],[RM]]&lt;=6.5,"Medium","Large"))</f>
        <v>Medium</v>
      </c>
    </row>
    <row r="258" spans="1:17" x14ac:dyDescent="0.3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  <c r="O258" t="str">
        <f>IF(Table1[[#This Row],[MEDV]]&lt;=15,"Low",IF(Table1[[#This Row],[MEDV]]&lt;=25,"Mid","High"))</f>
        <v>High</v>
      </c>
      <c r="P258" t="str">
        <f>IF(Table1[[#This Row],[CRIM]]&lt;=1,"Low",IF(Table1[[#This Row],[CRIM]]&lt;=10,"Medium","High"))</f>
        <v>Low</v>
      </c>
      <c r="Q258" t="str">
        <f>IF(Table1[[#This Row],[RM]]&lt;=5.5,"Small",IF(Table1[[#This Row],[RM]]&lt;=6.5,"Medium","Large"))</f>
        <v>Large</v>
      </c>
    </row>
    <row r="259" spans="1:17" x14ac:dyDescent="0.3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  <c r="O259" t="str">
        <f>IF(Table1[[#This Row],[MEDV]]&lt;=15,"Low",IF(Table1[[#This Row],[MEDV]]&lt;=25,"Mid","High"))</f>
        <v>High</v>
      </c>
      <c r="P259" t="str">
        <f>IF(Table1[[#This Row],[CRIM]]&lt;=1,"Low",IF(Table1[[#This Row],[CRIM]]&lt;=10,"Medium","High"))</f>
        <v>Low</v>
      </c>
      <c r="Q259" t="str">
        <f>IF(Table1[[#This Row],[RM]]&lt;=5.5,"Small",IF(Table1[[#This Row],[RM]]&lt;=6.5,"Medium","Large"))</f>
        <v>Large</v>
      </c>
    </row>
    <row r="260" spans="1:17" x14ac:dyDescent="0.3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  <c r="O260" t="str">
        <f>IF(Table1[[#This Row],[MEDV]]&lt;=15,"Low",IF(Table1[[#This Row],[MEDV]]&lt;=25,"Mid","High"))</f>
        <v>High</v>
      </c>
      <c r="P260" t="str">
        <f>IF(Table1[[#This Row],[CRIM]]&lt;=1,"Low",IF(Table1[[#This Row],[CRIM]]&lt;=10,"Medium","High"))</f>
        <v>Low</v>
      </c>
      <c r="Q260" t="str">
        <f>IF(Table1[[#This Row],[RM]]&lt;=5.5,"Small",IF(Table1[[#This Row],[RM]]&lt;=6.5,"Medium","Large"))</f>
        <v>Large</v>
      </c>
    </row>
    <row r="261" spans="1:17" x14ac:dyDescent="0.3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  <c r="O261" t="str">
        <f>IF(Table1[[#This Row],[MEDV]]&lt;=15,"Low",IF(Table1[[#This Row],[MEDV]]&lt;=25,"Mid","High"))</f>
        <v>High</v>
      </c>
      <c r="P261" t="str">
        <f>IF(Table1[[#This Row],[CRIM]]&lt;=1,"Low",IF(Table1[[#This Row],[CRIM]]&lt;=10,"Medium","High"))</f>
        <v>Low</v>
      </c>
      <c r="Q261" t="str">
        <f>IF(Table1[[#This Row],[RM]]&lt;=5.5,"Small",IF(Table1[[#This Row],[RM]]&lt;=6.5,"Medium","Large"))</f>
        <v>Large</v>
      </c>
    </row>
    <row r="262" spans="1:17" x14ac:dyDescent="0.3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  <c r="O262" t="str">
        <f>IF(Table1[[#This Row],[MEDV]]&lt;=15,"Low",IF(Table1[[#This Row],[MEDV]]&lt;=25,"Mid","High"))</f>
        <v>High</v>
      </c>
      <c r="P262" t="str">
        <f>IF(Table1[[#This Row],[CRIM]]&lt;=1,"Low",IF(Table1[[#This Row],[CRIM]]&lt;=10,"Medium","High"))</f>
        <v>Low</v>
      </c>
      <c r="Q262" t="str">
        <f>IF(Table1[[#This Row],[RM]]&lt;=5.5,"Small",IF(Table1[[#This Row],[RM]]&lt;=6.5,"Medium","Large"))</f>
        <v>Large</v>
      </c>
    </row>
    <row r="263" spans="1:17" x14ac:dyDescent="0.3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  <c r="O263" t="str">
        <f>IF(Table1[[#This Row],[MEDV]]&lt;=15,"Low",IF(Table1[[#This Row],[MEDV]]&lt;=25,"Mid","High"))</f>
        <v>High</v>
      </c>
      <c r="P263" t="str">
        <f>IF(Table1[[#This Row],[CRIM]]&lt;=1,"Low",IF(Table1[[#This Row],[CRIM]]&lt;=10,"Medium","High"))</f>
        <v>Low</v>
      </c>
      <c r="Q263" t="str">
        <f>IF(Table1[[#This Row],[RM]]&lt;=5.5,"Small",IF(Table1[[#This Row],[RM]]&lt;=6.5,"Medium","Large"))</f>
        <v>Large</v>
      </c>
    </row>
    <row r="264" spans="1:17" x14ac:dyDescent="0.3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  <c r="O264" t="str">
        <f>IF(Table1[[#This Row],[MEDV]]&lt;=15,"Low",IF(Table1[[#This Row],[MEDV]]&lt;=25,"Mid","High"))</f>
        <v>High</v>
      </c>
      <c r="P264" t="str">
        <f>IF(Table1[[#This Row],[CRIM]]&lt;=1,"Low",IF(Table1[[#This Row],[CRIM]]&lt;=10,"Medium","High"))</f>
        <v>Low</v>
      </c>
      <c r="Q264" t="str">
        <f>IF(Table1[[#This Row],[RM]]&lt;=5.5,"Small",IF(Table1[[#This Row],[RM]]&lt;=6.5,"Medium","Large"))</f>
        <v>Large</v>
      </c>
    </row>
    <row r="265" spans="1:17" x14ac:dyDescent="0.3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  <c r="O265" t="str">
        <f>IF(Table1[[#This Row],[MEDV]]&lt;=15,"Low",IF(Table1[[#This Row],[MEDV]]&lt;=25,"Mid","High"))</f>
        <v>High</v>
      </c>
      <c r="P265" t="str">
        <f>IF(Table1[[#This Row],[CRIM]]&lt;=1,"Low",IF(Table1[[#This Row],[CRIM]]&lt;=10,"Medium","High"))</f>
        <v>Low</v>
      </c>
      <c r="Q265" t="str">
        <f>IF(Table1[[#This Row],[RM]]&lt;=5.5,"Small",IF(Table1[[#This Row],[RM]]&lt;=6.5,"Medium","Large"))</f>
        <v>Large</v>
      </c>
    </row>
    <row r="266" spans="1:17" x14ac:dyDescent="0.3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  <c r="O266" t="str">
        <f>IF(Table1[[#This Row],[MEDV]]&lt;=15,"Low",IF(Table1[[#This Row],[MEDV]]&lt;=25,"Mid","High"))</f>
        <v>High</v>
      </c>
      <c r="P266" t="str">
        <f>IF(Table1[[#This Row],[CRIM]]&lt;=1,"Low",IF(Table1[[#This Row],[CRIM]]&lt;=10,"Medium","High"))</f>
        <v>Low</v>
      </c>
      <c r="Q266" t="str">
        <f>IF(Table1[[#This Row],[RM]]&lt;=5.5,"Small",IF(Table1[[#This Row],[RM]]&lt;=6.5,"Medium","Large"))</f>
        <v>Large</v>
      </c>
    </row>
    <row r="267" spans="1:17" x14ac:dyDescent="0.3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  <c r="O267" t="str">
        <f>IF(Table1[[#This Row],[MEDV]]&lt;=15,"Low",IF(Table1[[#This Row],[MEDV]]&lt;=25,"Mid","High"))</f>
        <v>Mid</v>
      </c>
      <c r="P267" t="str">
        <f>IF(Table1[[#This Row],[CRIM]]&lt;=1,"Low",IF(Table1[[#This Row],[CRIM]]&lt;=10,"Medium","High"))</f>
        <v>Low</v>
      </c>
      <c r="Q267" t="str">
        <f>IF(Table1[[#This Row],[RM]]&lt;=5.5,"Small",IF(Table1[[#This Row],[RM]]&lt;=6.5,"Medium","Large"))</f>
        <v>Medium</v>
      </c>
    </row>
    <row r="268" spans="1:17" x14ac:dyDescent="0.3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  <c r="O268" t="str">
        <f>IF(Table1[[#This Row],[MEDV]]&lt;=15,"Low",IF(Table1[[#This Row],[MEDV]]&lt;=25,"Mid","High"))</f>
        <v>High</v>
      </c>
      <c r="P268" t="str">
        <f>IF(Table1[[#This Row],[CRIM]]&lt;=1,"Low",IF(Table1[[#This Row],[CRIM]]&lt;=10,"Medium","High"))</f>
        <v>Low</v>
      </c>
      <c r="Q268" t="str">
        <f>IF(Table1[[#This Row],[RM]]&lt;=5.5,"Small",IF(Table1[[#This Row],[RM]]&lt;=6.5,"Medium","Large"))</f>
        <v>Large</v>
      </c>
    </row>
    <row r="269" spans="1:17" x14ac:dyDescent="0.3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  <c r="O269" t="str">
        <f>IF(Table1[[#This Row],[MEDV]]&lt;=15,"Low",IF(Table1[[#This Row],[MEDV]]&lt;=25,"Mid","High"))</f>
        <v>High</v>
      </c>
      <c r="P269" t="str">
        <f>IF(Table1[[#This Row],[CRIM]]&lt;=1,"Low",IF(Table1[[#This Row],[CRIM]]&lt;=10,"Medium","High"))</f>
        <v>Low</v>
      </c>
      <c r="Q269" t="str">
        <f>IF(Table1[[#This Row],[RM]]&lt;=5.5,"Small",IF(Table1[[#This Row],[RM]]&lt;=6.5,"Medium","Large"))</f>
        <v>Large</v>
      </c>
    </row>
    <row r="270" spans="1:17" x14ac:dyDescent="0.3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  <c r="O270" t="str">
        <f>IF(Table1[[#This Row],[MEDV]]&lt;=15,"Low",IF(Table1[[#This Row],[MEDV]]&lt;=25,"Mid","High"))</f>
        <v>High</v>
      </c>
      <c r="P270" t="str">
        <f>IF(Table1[[#This Row],[CRIM]]&lt;=1,"Low",IF(Table1[[#This Row],[CRIM]]&lt;=10,"Medium","High"))</f>
        <v>Low</v>
      </c>
      <c r="Q270" t="str">
        <f>IF(Table1[[#This Row],[RM]]&lt;=5.5,"Small",IF(Table1[[#This Row],[RM]]&lt;=6.5,"Medium","Large"))</f>
        <v>Large</v>
      </c>
    </row>
    <row r="271" spans="1:17" x14ac:dyDescent="0.3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  <c r="O271" t="str">
        <f>IF(Table1[[#This Row],[MEDV]]&lt;=15,"Low",IF(Table1[[#This Row],[MEDV]]&lt;=25,"Mid","High"))</f>
        <v>Mid</v>
      </c>
      <c r="P271" t="str">
        <f>IF(Table1[[#This Row],[CRIM]]&lt;=1,"Low",IF(Table1[[#This Row],[CRIM]]&lt;=10,"Medium","High"))</f>
        <v>Low</v>
      </c>
      <c r="Q271" t="str">
        <f>IF(Table1[[#This Row],[RM]]&lt;=5.5,"Small",IF(Table1[[#This Row],[RM]]&lt;=6.5,"Medium","Large"))</f>
        <v>Medium</v>
      </c>
    </row>
    <row r="272" spans="1:17" x14ac:dyDescent="0.3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  <c r="O272" t="str">
        <f>IF(Table1[[#This Row],[MEDV]]&lt;=15,"Low",IF(Table1[[#This Row],[MEDV]]&lt;=25,"Mid","High"))</f>
        <v>Mid</v>
      </c>
      <c r="P272" t="str">
        <f>IF(Table1[[#This Row],[CRIM]]&lt;=1,"Low",IF(Table1[[#This Row],[CRIM]]&lt;=10,"Medium","High"))</f>
        <v>Low</v>
      </c>
      <c r="Q272" t="str">
        <f>IF(Table1[[#This Row],[RM]]&lt;=5.5,"Small",IF(Table1[[#This Row],[RM]]&lt;=6.5,"Medium","Large"))</f>
        <v>Medium</v>
      </c>
    </row>
    <row r="273" spans="1:17" x14ac:dyDescent="0.3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  <c r="O273" t="str">
        <f>IF(Table1[[#This Row],[MEDV]]&lt;=15,"Low",IF(Table1[[#This Row],[MEDV]]&lt;=25,"Mid","High"))</f>
        <v>High</v>
      </c>
      <c r="P273" t="str">
        <f>IF(Table1[[#This Row],[CRIM]]&lt;=1,"Low",IF(Table1[[#This Row],[CRIM]]&lt;=10,"Medium","High"))</f>
        <v>Low</v>
      </c>
      <c r="Q273" t="str">
        <f>IF(Table1[[#This Row],[RM]]&lt;=5.5,"Small",IF(Table1[[#This Row],[RM]]&lt;=6.5,"Medium","Large"))</f>
        <v>Medium</v>
      </c>
    </row>
    <row r="274" spans="1:17" x14ac:dyDescent="0.3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  <c r="O274" t="str">
        <f>IF(Table1[[#This Row],[MEDV]]&lt;=15,"Low",IF(Table1[[#This Row],[MEDV]]&lt;=25,"Mid","High"))</f>
        <v>Mid</v>
      </c>
      <c r="P274" t="str">
        <f>IF(Table1[[#This Row],[CRIM]]&lt;=1,"Low",IF(Table1[[#This Row],[CRIM]]&lt;=10,"Medium","High"))</f>
        <v>Low</v>
      </c>
      <c r="Q274" t="str">
        <f>IF(Table1[[#This Row],[RM]]&lt;=5.5,"Small",IF(Table1[[#This Row],[RM]]&lt;=6.5,"Medium","Large"))</f>
        <v>Large</v>
      </c>
    </row>
    <row r="275" spans="1:17" x14ac:dyDescent="0.3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  <c r="O275" t="str">
        <f>IF(Table1[[#This Row],[MEDV]]&lt;=15,"Low",IF(Table1[[#This Row],[MEDV]]&lt;=25,"Mid","High"))</f>
        <v>High</v>
      </c>
      <c r="P275" t="str">
        <f>IF(Table1[[#This Row],[CRIM]]&lt;=1,"Low",IF(Table1[[#This Row],[CRIM]]&lt;=10,"Medium","High"))</f>
        <v>Low</v>
      </c>
      <c r="Q275" t="str">
        <f>IF(Table1[[#This Row],[RM]]&lt;=5.5,"Small",IF(Table1[[#This Row],[RM]]&lt;=6.5,"Medium","Large"))</f>
        <v>Large</v>
      </c>
    </row>
    <row r="276" spans="1:17" x14ac:dyDescent="0.3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  <c r="O276" t="str">
        <f>IF(Table1[[#This Row],[MEDV]]&lt;=15,"Low",IF(Table1[[#This Row],[MEDV]]&lt;=25,"Mid","High"))</f>
        <v>High</v>
      </c>
      <c r="P276" t="str">
        <f>IF(Table1[[#This Row],[CRIM]]&lt;=1,"Low",IF(Table1[[#This Row],[CRIM]]&lt;=10,"Medium","High"))</f>
        <v>Low</v>
      </c>
      <c r="Q276" t="str">
        <f>IF(Table1[[#This Row],[RM]]&lt;=5.5,"Small",IF(Table1[[#This Row],[RM]]&lt;=6.5,"Medium","Large"))</f>
        <v>Large</v>
      </c>
    </row>
    <row r="277" spans="1:17" x14ac:dyDescent="0.3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  <c r="O277" t="str">
        <f>IF(Table1[[#This Row],[MEDV]]&lt;=15,"Low",IF(Table1[[#This Row],[MEDV]]&lt;=25,"Mid","High"))</f>
        <v>High</v>
      </c>
      <c r="P277" t="str">
        <f>IF(Table1[[#This Row],[CRIM]]&lt;=1,"Low",IF(Table1[[#This Row],[CRIM]]&lt;=10,"Medium","High"))</f>
        <v>Low</v>
      </c>
      <c r="Q277" t="str">
        <f>IF(Table1[[#This Row],[RM]]&lt;=5.5,"Small",IF(Table1[[#This Row],[RM]]&lt;=6.5,"Medium","Large"))</f>
        <v>Large</v>
      </c>
    </row>
    <row r="278" spans="1:17" x14ac:dyDescent="0.3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  <c r="O278" t="str">
        <f>IF(Table1[[#This Row],[MEDV]]&lt;=15,"Low",IF(Table1[[#This Row],[MEDV]]&lt;=25,"Mid","High"))</f>
        <v>High</v>
      </c>
      <c r="P278" t="str">
        <f>IF(Table1[[#This Row],[CRIM]]&lt;=1,"Low",IF(Table1[[#This Row],[CRIM]]&lt;=10,"Medium","High"))</f>
        <v>Low</v>
      </c>
      <c r="Q278" t="str">
        <f>IF(Table1[[#This Row],[RM]]&lt;=5.5,"Small",IF(Table1[[#This Row],[RM]]&lt;=6.5,"Medium","Large"))</f>
        <v>Large</v>
      </c>
    </row>
    <row r="279" spans="1:17" x14ac:dyDescent="0.3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  <c r="O279" t="str">
        <f>IF(Table1[[#This Row],[MEDV]]&lt;=15,"Low",IF(Table1[[#This Row],[MEDV]]&lt;=25,"Mid","High"))</f>
        <v>High</v>
      </c>
      <c r="P279" t="str">
        <f>IF(Table1[[#This Row],[CRIM]]&lt;=1,"Low",IF(Table1[[#This Row],[CRIM]]&lt;=10,"Medium","High"))</f>
        <v>Low</v>
      </c>
      <c r="Q279" t="str">
        <f>IF(Table1[[#This Row],[RM]]&lt;=5.5,"Small",IF(Table1[[#This Row],[RM]]&lt;=6.5,"Medium","Large"))</f>
        <v>Large</v>
      </c>
    </row>
    <row r="280" spans="1:17" x14ac:dyDescent="0.3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  <c r="O280" t="str">
        <f>IF(Table1[[#This Row],[MEDV]]&lt;=15,"Low",IF(Table1[[#This Row],[MEDV]]&lt;=25,"Mid","High"))</f>
        <v>High</v>
      </c>
      <c r="P280" t="str">
        <f>IF(Table1[[#This Row],[CRIM]]&lt;=1,"Low",IF(Table1[[#This Row],[CRIM]]&lt;=10,"Medium","High"))</f>
        <v>Low</v>
      </c>
      <c r="Q280" t="str">
        <f>IF(Table1[[#This Row],[RM]]&lt;=5.5,"Small",IF(Table1[[#This Row],[RM]]&lt;=6.5,"Medium","Large"))</f>
        <v>Medium</v>
      </c>
    </row>
    <row r="281" spans="1:17" x14ac:dyDescent="0.3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  <c r="O281" t="str">
        <f>IF(Table1[[#This Row],[MEDV]]&lt;=15,"Low",IF(Table1[[#This Row],[MEDV]]&lt;=25,"Mid","High"))</f>
        <v>High</v>
      </c>
      <c r="P281" t="str">
        <f>IF(Table1[[#This Row],[CRIM]]&lt;=1,"Low",IF(Table1[[#This Row],[CRIM]]&lt;=10,"Medium","High"))</f>
        <v>Low</v>
      </c>
      <c r="Q281" t="str">
        <f>IF(Table1[[#This Row],[RM]]&lt;=5.5,"Small",IF(Table1[[#This Row],[RM]]&lt;=6.5,"Medium","Large"))</f>
        <v>Large</v>
      </c>
    </row>
    <row r="282" spans="1:17" x14ac:dyDescent="0.3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  <c r="O282" t="str">
        <f>IF(Table1[[#This Row],[MEDV]]&lt;=15,"Low",IF(Table1[[#This Row],[MEDV]]&lt;=25,"Mid","High"))</f>
        <v>High</v>
      </c>
      <c r="P282" t="str">
        <f>IF(Table1[[#This Row],[CRIM]]&lt;=1,"Low",IF(Table1[[#This Row],[CRIM]]&lt;=10,"Medium","High"))</f>
        <v>Low</v>
      </c>
      <c r="Q282" t="str">
        <f>IF(Table1[[#This Row],[RM]]&lt;=5.5,"Small",IF(Table1[[#This Row],[RM]]&lt;=6.5,"Medium","Large"))</f>
        <v>Large</v>
      </c>
    </row>
    <row r="283" spans="1:17" x14ac:dyDescent="0.3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  <c r="O283" t="str">
        <f>IF(Table1[[#This Row],[MEDV]]&lt;=15,"Low",IF(Table1[[#This Row],[MEDV]]&lt;=25,"Mid","High"))</f>
        <v>High</v>
      </c>
      <c r="P283" t="str">
        <f>IF(Table1[[#This Row],[CRIM]]&lt;=1,"Low",IF(Table1[[#This Row],[CRIM]]&lt;=10,"Medium","High"))</f>
        <v>Low</v>
      </c>
      <c r="Q283" t="str">
        <f>IF(Table1[[#This Row],[RM]]&lt;=5.5,"Small",IF(Table1[[#This Row],[RM]]&lt;=6.5,"Medium","Large"))</f>
        <v>Large</v>
      </c>
    </row>
    <row r="284" spans="1:17" x14ac:dyDescent="0.3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  <c r="O284" t="str">
        <f>IF(Table1[[#This Row],[MEDV]]&lt;=15,"Low",IF(Table1[[#This Row],[MEDV]]&lt;=25,"Mid","High"))</f>
        <v>High</v>
      </c>
      <c r="P284" t="str">
        <f>IF(Table1[[#This Row],[CRIM]]&lt;=1,"Low",IF(Table1[[#This Row],[CRIM]]&lt;=10,"Medium","High"))</f>
        <v>Low</v>
      </c>
      <c r="Q284" t="str">
        <f>IF(Table1[[#This Row],[RM]]&lt;=5.5,"Small",IF(Table1[[#This Row],[RM]]&lt;=6.5,"Medium","Large"))</f>
        <v>Large</v>
      </c>
    </row>
    <row r="285" spans="1:17" x14ac:dyDescent="0.3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  <c r="O285" t="str">
        <f>IF(Table1[[#This Row],[MEDV]]&lt;=15,"Low",IF(Table1[[#This Row],[MEDV]]&lt;=25,"Mid","High"))</f>
        <v>High</v>
      </c>
      <c r="P285" t="str">
        <f>IF(Table1[[#This Row],[CRIM]]&lt;=1,"Low",IF(Table1[[#This Row],[CRIM]]&lt;=10,"Medium","High"))</f>
        <v>Low</v>
      </c>
      <c r="Q285" t="str">
        <f>IF(Table1[[#This Row],[RM]]&lt;=5.5,"Small",IF(Table1[[#This Row],[RM]]&lt;=6.5,"Medium","Large"))</f>
        <v>Large</v>
      </c>
    </row>
    <row r="286" spans="1:17" x14ac:dyDescent="0.3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  <c r="O286" t="str">
        <f>IF(Table1[[#This Row],[MEDV]]&lt;=15,"Low",IF(Table1[[#This Row],[MEDV]]&lt;=25,"Mid","High"))</f>
        <v>High</v>
      </c>
      <c r="P286" t="str">
        <f>IF(Table1[[#This Row],[CRIM]]&lt;=1,"Low",IF(Table1[[#This Row],[CRIM]]&lt;=10,"Medium","High"))</f>
        <v>Low</v>
      </c>
      <c r="Q286" t="str">
        <f>IF(Table1[[#This Row],[RM]]&lt;=5.5,"Small",IF(Table1[[#This Row],[RM]]&lt;=6.5,"Medium","Large"))</f>
        <v>Large</v>
      </c>
    </row>
    <row r="287" spans="1:17" x14ac:dyDescent="0.3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  <c r="O287" t="str">
        <f>IF(Table1[[#This Row],[MEDV]]&lt;=15,"Low",IF(Table1[[#This Row],[MEDV]]&lt;=25,"Mid","High"))</f>
        <v>Mid</v>
      </c>
      <c r="P287" t="str">
        <f>IF(Table1[[#This Row],[CRIM]]&lt;=1,"Low",IF(Table1[[#This Row],[CRIM]]&lt;=10,"Medium","High"))</f>
        <v>Low</v>
      </c>
      <c r="Q287" t="str">
        <f>IF(Table1[[#This Row],[RM]]&lt;=5.5,"Small",IF(Table1[[#This Row],[RM]]&lt;=6.5,"Medium","Large"))</f>
        <v>Medium</v>
      </c>
    </row>
    <row r="288" spans="1:17" x14ac:dyDescent="0.3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  <c r="O288" t="str">
        <f>IF(Table1[[#This Row],[MEDV]]&lt;=15,"Low",IF(Table1[[#This Row],[MEDV]]&lt;=25,"Mid","High"))</f>
        <v>Mid</v>
      </c>
      <c r="P288" t="str">
        <f>IF(Table1[[#This Row],[CRIM]]&lt;=1,"Low",IF(Table1[[#This Row],[CRIM]]&lt;=10,"Medium","High"))</f>
        <v>Low</v>
      </c>
      <c r="Q288" t="str">
        <f>IF(Table1[[#This Row],[RM]]&lt;=5.5,"Small",IF(Table1[[#This Row],[RM]]&lt;=6.5,"Medium","Large"))</f>
        <v>Medium</v>
      </c>
    </row>
    <row r="289" spans="1:17" x14ac:dyDescent="0.3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  <c r="O289" t="str">
        <f>IF(Table1[[#This Row],[MEDV]]&lt;=15,"Low",IF(Table1[[#This Row],[MEDV]]&lt;=25,"Mid","High"))</f>
        <v>Mid</v>
      </c>
      <c r="P289" t="str">
        <f>IF(Table1[[#This Row],[CRIM]]&lt;=1,"Low",IF(Table1[[#This Row],[CRIM]]&lt;=10,"Medium","High"))</f>
        <v>Low</v>
      </c>
      <c r="Q289" t="str">
        <f>IF(Table1[[#This Row],[RM]]&lt;=5.5,"Small",IF(Table1[[#This Row],[RM]]&lt;=6.5,"Medium","Large"))</f>
        <v>Medium</v>
      </c>
    </row>
    <row r="290" spans="1:17" x14ac:dyDescent="0.3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  <c r="O290" t="str">
        <f>IF(Table1[[#This Row],[MEDV]]&lt;=15,"Low",IF(Table1[[#This Row],[MEDV]]&lt;=25,"Mid","High"))</f>
        <v>Mid</v>
      </c>
      <c r="P290" t="str">
        <f>IF(Table1[[#This Row],[CRIM]]&lt;=1,"Low",IF(Table1[[#This Row],[CRIM]]&lt;=10,"Medium","High"))</f>
        <v>Low</v>
      </c>
      <c r="Q290" t="str">
        <f>IF(Table1[[#This Row],[RM]]&lt;=5.5,"Small",IF(Table1[[#This Row],[RM]]&lt;=6.5,"Medium","Large"))</f>
        <v>Medium</v>
      </c>
    </row>
    <row r="291" spans="1:17" x14ac:dyDescent="0.3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  <c r="O291" t="str">
        <f>IF(Table1[[#This Row],[MEDV]]&lt;=15,"Low",IF(Table1[[#This Row],[MEDV]]&lt;=25,"Mid","High"))</f>
        <v>Mid</v>
      </c>
      <c r="P291" t="str">
        <f>IF(Table1[[#This Row],[CRIM]]&lt;=1,"Low",IF(Table1[[#This Row],[CRIM]]&lt;=10,"Medium","High"))</f>
        <v>Low</v>
      </c>
      <c r="Q291" t="str">
        <f>IF(Table1[[#This Row],[RM]]&lt;=5.5,"Small",IF(Table1[[#This Row],[RM]]&lt;=6.5,"Medium","Large"))</f>
        <v>Large</v>
      </c>
    </row>
    <row r="292" spans="1:17" x14ac:dyDescent="0.3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  <c r="O292" t="str">
        <f>IF(Table1[[#This Row],[MEDV]]&lt;=15,"Low",IF(Table1[[#This Row],[MEDV]]&lt;=25,"Mid","High"))</f>
        <v>High</v>
      </c>
      <c r="P292" t="str">
        <f>IF(Table1[[#This Row],[CRIM]]&lt;=1,"Low",IF(Table1[[#This Row],[CRIM]]&lt;=10,"Medium","High"))</f>
        <v>Low</v>
      </c>
      <c r="Q292" t="str">
        <f>IF(Table1[[#This Row],[RM]]&lt;=5.5,"Small",IF(Table1[[#This Row],[RM]]&lt;=6.5,"Medium","Large"))</f>
        <v>Large</v>
      </c>
    </row>
    <row r="293" spans="1:17" x14ac:dyDescent="0.3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  <c r="O293" t="str">
        <f>IF(Table1[[#This Row],[MEDV]]&lt;=15,"Low",IF(Table1[[#This Row],[MEDV]]&lt;=25,"Mid","High"))</f>
        <v>High</v>
      </c>
      <c r="P293" t="str">
        <f>IF(Table1[[#This Row],[CRIM]]&lt;=1,"Low",IF(Table1[[#This Row],[CRIM]]&lt;=10,"Medium","High"))</f>
        <v>Low</v>
      </c>
      <c r="Q293" t="str">
        <f>IF(Table1[[#This Row],[RM]]&lt;=5.5,"Small",IF(Table1[[#This Row],[RM]]&lt;=6.5,"Medium","Large"))</f>
        <v>Large</v>
      </c>
    </row>
    <row r="294" spans="1:17" x14ac:dyDescent="0.3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  <c r="O294" t="str">
        <f>IF(Table1[[#This Row],[MEDV]]&lt;=15,"Low",IF(Table1[[#This Row],[MEDV]]&lt;=25,"Mid","High"))</f>
        <v>High</v>
      </c>
      <c r="P294" t="str">
        <f>IF(Table1[[#This Row],[CRIM]]&lt;=1,"Low",IF(Table1[[#This Row],[CRIM]]&lt;=10,"Medium","High"))</f>
        <v>Low</v>
      </c>
      <c r="Q294" t="str">
        <f>IF(Table1[[#This Row],[RM]]&lt;=5.5,"Small",IF(Table1[[#This Row],[RM]]&lt;=6.5,"Medium","Large"))</f>
        <v>Large</v>
      </c>
    </row>
    <row r="295" spans="1:17" x14ac:dyDescent="0.3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  <c r="O295" t="str">
        <f>IF(Table1[[#This Row],[MEDV]]&lt;=15,"Low",IF(Table1[[#This Row],[MEDV]]&lt;=25,"Mid","High"))</f>
        <v>Mid</v>
      </c>
      <c r="P295" t="str">
        <f>IF(Table1[[#This Row],[CRIM]]&lt;=1,"Low",IF(Table1[[#This Row],[CRIM]]&lt;=10,"Medium","High"))</f>
        <v>Low</v>
      </c>
      <c r="Q295" t="str">
        <f>IF(Table1[[#This Row],[RM]]&lt;=5.5,"Small",IF(Table1[[#This Row],[RM]]&lt;=6.5,"Medium","Large"))</f>
        <v>Medium</v>
      </c>
    </row>
    <row r="296" spans="1:17" x14ac:dyDescent="0.3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  <c r="O296" t="str">
        <f>IF(Table1[[#This Row],[MEDV]]&lt;=15,"Low",IF(Table1[[#This Row],[MEDV]]&lt;=25,"Mid","High"))</f>
        <v>Mid</v>
      </c>
      <c r="P296" t="str">
        <f>IF(Table1[[#This Row],[CRIM]]&lt;=1,"Low",IF(Table1[[#This Row],[CRIM]]&lt;=10,"Medium","High"))</f>
        <v>Low</v>
      </c>
      <c r="Q296" t="str">
        <f>IF(Table1[[#This Row],[RM]]&lt;=5.5,"Small",IF(Table1[[#This Row],[RM]]&lt;=6.5,"Medium","Large"))</f>
        <v>Medium</v>
      </c>
    </row>
    <row r="297" spans="1:17" x14ac:dyDescent="0.3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  <c r="O297" t="str">
        <f>IF(Table1[[#This Row],[MEDV]]&lt;=15,"Low",IF(Table1[[#This Row],[MEDV]]&lt;=25,"Mid","High"))</f>
        <v>High</v>
      </c>
      <c r="P297" t="str">
        <f>IF(Table1[[#This Row],[CRIM]]&lt;=1,"Low",IF(Table1[[#This Row],[CRIM]]&lt;=10,"Medium","High"))</f>
        <v>Low</v>
      </c>
      <c r="Q297" t="str">
        <f>IF(Table1[[#This Row],[RM]]&lt;=5.5,"Small",IF(Table1[[#This Row],[RM]]&lt;=6.5,"Medium","Large"))</f>
        <v>Large</v>
      </c>
    </row>
    <row r="298" spans="1:17" x14ac:dyDescent="0.3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  <c r="O298" t="str">
        <f>IF(Table1[[#This Row],[MEDV]]&lt;=15,"Low",IF(Table1[[#This Row],[MEDV]]&lt;=25,"Mid","High"))</f>
        <v>High</v>
      </c>
      <c r="P298" t="str">
        <f>IF(Table1[[#This Row],[CRIM]]&lt;=1,"Low",IF(Table1[[#This Row],[CRIM]]&lt;=10,"Medium","High"))</f>
        <v>Low</v>
      </c>
      <c r="Q298" t="str">
        <f>IF(Table1[[#This Row],[RM]]&lt;=5.5,"Small",IF(Table1[[#This Row],[RM]]&lt;=6.5,"Medium","Large"))</f>
        <v>Large</v>
      </c>
    </row>
    <row r="299" spans="1:17" x14ac:dyDescent="0.3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  <c r="O299" t="str">
        <f>IF(Table1[[#This Row],[MEDV]]&lt;=15,"Low",IF(Table1[[#This Row],[MEDV]]&lt;=25,"Mid","High"))</f>
        <v>Mid</v>
      </c>
      <c r="P299" t="str">
        <f>IF(Table1[[#This Row],[CRIM]]&lt;=1,"Low",IF(Table1[[#This Row],[CRIM]]&lt;=10,"Medium","High"))</f>
        <v>Low</v>
      </c>
      <c r="Q299" t="str">
        <f>IF(Table1[[#This Row],[RM]]&lt;=5.5,"Small",IF(Table1[[#This Row],[RM]]&lt;=6.5,"Medium","Large"))</f>
        <v>Medium</v>
      </c>
    </row>
    <row r="300" spans="1:17" x14ac:dyDescent="0.3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  <c r="O300" t="str">
        <f>IF(Table1[[#This Row],[MEDV]]&lt;=15,"Low",IF(Table1[[#This Row],[MEDV]]&lt;=25,"Mid","High"))</f>
        <v>Mid</v>
      </c>
      <c r="P300" t="str">
        <f>IF(Table1[[#This Row],[CRIM]]&lt;=1,"Low",IF(Table1[[#This Row],[CRIM]]&lt;=10,"Medium","High"))</f>
        <v>Low</v>
      </c>
      <c r="Q300" t="str">
        <f>IF(Table1[[#This Row],[RM]]&lt;=5.5,"Small",IF(Table1[[#This Row],[RM]]&lt;=6.5,"Medium","Large"))</f>
        <v>Medium</v>
      </c>
    </row>
    <row r="301" spans="1:17" x14ac:dyDescent="0.3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  <c r="O301" t="str">
        <f>IF(Table1[[#This Row],[MEDV]]&lt;=15,"Low",IF(Table1[[#This Row],[MEDV]]&lt;=25,"Mid","High"))</f>
        <v>High</v>
      </c>
      <c r="P301" t="str">
        <f>IF(Table1[[#This Row],[CRIM]]&lt;=1,"Low",IF(Table1[[#This Row],[CRIM]]&lt;=10,"Medium","High"))</f>
        <v>Low</v>
      </c>
      <c r="Q301" t="str">
        <f>IF(Table1[[#This Row],[RM]]&lt;=5.5,"Small",IF(Table1[[#This Row],[RM]]&lt;=6.5,"Medium","Large"))</f>
        <v>Large</v>
      </c>
    </row>
    <row r="302" spans="1:17" x14ac:dyDescent="0.3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  <c r="O302" t="str">
        <f>IF(Table1[[#This Row],[MEDV]]&lt;=15,"Low",IF(Table1[[#This Row],[MEDV]]&lt;=25,"Mid","High"))</f>
        <v>Mid</v>
      </c>
      <c r="P302" t="str">
        <f>IF(Table1[[#This Row],[CRIM]]&lt;=1,"Low",IF(Table1[[#This Row],[CRIM]]&lt;=10,"Medium","High"))</f>
        <v>Low</v>
      </c>
      <c r="Q302" t="str">
        <f>IF(Table1[[#This Row],[RM]]&lt;=5.5,"Small",IF(Table1[[#This Row],[RM]]&lt;=6.5,"Medium","Large"))</f>
        <v>Large</v>
      </c>
    </row>
    <row r="303" spans="1:17" x14ac:dyDescent="0.3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  <c r="O303" t="str">
        <f>IF(Table1[[#This Row],[MEDV]]&lt;=15,"Low",IF(Table1[[#This Row],[MEDV]]&lt;=25,"Mid","High"))</f>
        <v>Mid</v>
      </c>
      <c r="P303" t="str">
        <f>IF(Table1[[#This Row],[CRIM]]&lt;=1,"Low",IF(Table1[[#This Row],[CRIM]]&lt;=10,"Medium","High"))</f>
        <v>Low</v>
      </c>
      <c r="Q303" t="str">
        <f>IF(Table1[[#This Row],[RM]]&lt;=5.5,"Small",IF(Table1[[#This Row],[RM]]&lt;=6.5,"Medium","Large"))</f>
        <v>Large</v>
      </c>
    </row>
    <row r="304" spans="1:17" x14ac:dyDescent="0.3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  <c r="O304" t="str">
        <f>IF(Table1[[#This Row],[MEDV]]&lt;=15,"Low",IF(Table1[[#This Row],[MEDV]]&lt;=25,"Mid","High"))</f>
        <v>High</v>
      </c>
      <c r="P304" t="str">
        <f>IF(Table1[[#This Row],[CRIM]]&lt;=1,"Low",IF(Table1[[#This Row],[CRIM]]&lt;=10,"Medium","High"))</f>
        <v>Low</v>
      </c>
      <c r="Q304" t="str">
        <f>IF(Table1[[#This Row],[RM]]&lt;=5.5,"Small",IF(Table1[[#This Row],[RM]]&lt;=6.5,"Medium","Large"))</f>
        <v>Medium</v>
      </c>
    </row>
    <row r="305" spans="1:17" x14ac:dyDescent="0.3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  <c r="O305" t="str">
        <f>IF(Table1[[#This Row],[MEDV]]&lt;=15,"Low",IF(Table1[[#This Row],[MEDV]]&lt;=25,"Mid","High"))</f>
        <v>High</v>
      </c>
      <c r="P305" t="str">
        <f>IF(Table1[[#This Row],[CRIM]]&lt;=1,"Low",IF(Table1[[#This Row],[CRIM]]&lt;=10,"Medium","High"))</f>
        <v>Low</v>
      </c>
      <c r="Q305" t="str">
        <f>IF(Table1[[#This Row],[RM]]&lt;=5.5,"Small",IF(Table1[[#This Row],[RM]]&lt;=6.5,"Medium","Large"))</f>
        <v>Large</v>
      </c>
    </row>
    <row r="306" spans="1:17" x14ac:dyDescent="0.3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  <c r="O306" t="str">
        <f>IF(Table1[[#This Row],[MEDV]]&lt;=15,"Low",IF(Table1[[#This Row],[MEDV]]&lt;=25,"Mid","High"))</f>
        <v>High</v>
      </c>
      <c r="P306" t="str">
        <f>IF(Table1[[#This Row],[CRIM]]&lt;=1,"Low",IF(Table1[[#This Row],[CRIM]]&lt;=10,"Medium","High"))</f>
        <v>Low</v>
      </c>
      <c r="Q306" t="str">
        <f>IF(Table1[[#This Row],[RM]]&lt;=5.5,"Small",IF(Table1[[#This Row],[RM]]&lt;=6.5,"Medium","Large"))</f>
        <v>Large</v>
      </c>
    </row>
    <row r="307" spans="1:17" x14ac:dyDescent="0.3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  <c r="O307" t="str">
        <f>IF(Table1[[#This Row],[MEDV]]&lt;=15,"Low",IF(Table1[[#This Row],[MEDV]]&lt;=25,"Mid","High"))</f>
        <v>High</v>
      </c>
      <c r="P307" t="str">
        <f>IF(Table1[[#This Row],[CRIM]]&lt;=1,"Low",IF(Table1[[#This Row],[CRIM]]&lt;=10,"Medium","High"))</f>
        <v>Low</v>
      </c>
      <c r="Q307" t="str">
        <f>IF(Table1[[#This Row],[RM]]&lt;=5.5,"Small",IF(Table1[[#This Row],[RM]]&lt;=6.5,"Medium","Large"))</f>
        <v>Large</v>
      </c>
    </row>
    <row r="308" spans="1:17" x14ac:dyDescent="0.3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  <c r="O308" t="str">
        <f>IF(Table1[[#This Row],[MEDV]]&lt;=15,"Low",IF(Table1[[#This Row],[MEDV]]&lt;=25,"Mid","High"))</f>
        <v>High</v>
      </c>
      <c r="P308" t="str">
        <f>IF(Table1[[#This Row],[CRIM]]&lt;=1,"Low",IF(Table1[[#This Row],[CRIM]]&lt;=10,"Medium","High"))</f>
        <v>Low</v>
      </c>
      <c r="Q308" t="str">
        <f>IF(Table1[[#This Row],[RM]]&lt;=5.5,"Small",IF(Table1[[#This Row],[RM]]&lt;=6.5,"Medium","Large"))</f>
        <v>Large</v>
      </c>
    </row>
    <row r="309" spans="1:17" x14ac:dyDescent="0.3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  <c r="O309" t="str">
        <f>IF(Table1[[#This Row],[MEDV]]&lt;=15,"Low",IF(Table1[[#This Row],[MEDV]]&lt;=25,"Mid","High"))</f>
        <v>High</v>
      </c>
      <c r="P309" t="str">
        <f>IF(Table1[[#This Row],[CRIM]]&lt;=1,"Low",IF(Table1[[#This Row],[CRIM]]&lt;=10,"Medium","High"))</f>
        <v>Low</v>
      </c>
      <c r="Q309" t="str">
        <f>IF(Table1[[#This Row],[RM]]&lt;=5.5,"Small",IF(Table1[[#This Row],[RM]]&lt;=6.5,"Medium","Large"))</f>
        <v>Large</v>
      </c>
    </row>
    <row r="310" spans="1:17" x14ac:dyDescent="0.3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  <c r="O310" t="str">
        <f>IF(Table1[[#This Row],[MEDV]]&lt;=15,"Low",IF(Table1[[#This Row],[MEDV]]&lt;=25,"Mid","High"))</f>
        <v>Mid</v>
      </c>
      <c r="P310" t="str">
        <f>IF(Table1[[#This Row],[CRIM]]&lt;=1,"Low",IF(Table1[[#This Row],[CRIM]]&lt;=10,"Medium","High"))</f>
        <v>Low</v>
      </c>
      <c r="Q310" t="str">
        <f>IF(Table1[[#This Row],[RM]]&lt;=5.5,"Small",IF(Table1[[#This Row],[RM]]&lt;=6.5,"Medium","Large"))</f>
        <v>Large</v>
      </c>
    </row>
    <row r="311" spans="1:17" x14ac:dyDescent="0.3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  <c r="O311" t="str">
        <f>IF(Table1[[#This Row],[MEDV]]&lt;=15,"Low",IF(Table1[[#This Row],[MEDV]]&lt;=25,"Mid","High"))</f>
        <v>Mid</v>
      </c>
      <c r="P311" t="str">
        <f>IF(Table1[[#This Row],[CRIM]]&lt;=1,"Low",IF(Table1[[#This Row],[CRIM]]&lt;=10,"Medium","High"))</f>
        <v>Low</v>
      </c>
      <c r="Q311" t="str">
        <f>IF(Table1[[#This Row],[RM]]&lt;=5.5,"Small",IF(Table1[[#This Row],[RM]]&lt;=6.5,"Medium","Large"))</f>
        <v>Medium</v>
      </c>
    </row>
    <row r="312" spans="1:17" x14ac:dyDescent="0.3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  <c r="O312" t="str">
        <f>IF(Table1[[#This Row],[MEDV]]&lt;=15,"Low",IF(Table1[[#This Row],[MEDV]]&lt;=25,"Mid","High"))</f>
        <v>Mid</v>
      </c>
      <c r="P312" t="str">
        <f>IF(Table1[[#This Row],[CRIM]]&lt;=1,"Low",IF(Table1[[#This Row],[CRIM]]&lt;=10,"Medium","High"))</f>
        <v>Medium</v>
      </c>
      <c r="Q312" t="str">
        <f>IF(Table1[[#This Row],[RM]]&lt;=5.5,"Small",IF(Table1[[#This Row],[RM]]&lt;=6.5,"Medium","Large"))</f>
        <v>Small</v>
      </c>
    </row>
    <row r="313" spans="1:17" x14ac:dyDescent="0.3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  <c r="O313" t="str">
        <f>IF(Table1[[#This Row],[MEDV]]&lt;=15,"Low",IF(Table1[[#This Row],[MEDV]]&lt;=25,"Mid","High"))</f>
        <v>Mid</v>
      </c>
      <c r="P313" t="str">
        <f>IF(Table1[[#This Row],[CRIM]]&lt;=1,"Low",IF(Table1[[#This Row],[CRIM]]&lt;=10,"Medium","High"))</f>
        <v>Low</v>
      </c>
      <c r="Q313" t="str">
        <f>IF(Table1[[#This Row],[RM]]&lt;=5.5,"Small",IF(Table1[[#This Row],[RM]]&lt;=6.5,"Medium","Large"))</f>
        <v>Medium</v>
      </c>
    </row>
    <row r="314" spans="1:17" x14ac:dyDescent="0.3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  <c r="O314" t="str">
        <f>IF(Table1[[#This Row],[MEDV]]&lt;=15,"Low",IF(Table1[[#This Row],[MEDV]]&lt;=25,"Mid","High"))</f>
        <v>Mid</v>
      </c>
      <c r="P314" t="str">
        <f>IF(Table1[[#This Row],[CRIM]]&lt;=1,"Low",IF(Table1[[#This Row],[CRIM]]&lt;=10,"Medium","High"))</f>
        <v>Low</v>
      </c>
      <c r="Q314" t="str">
        <f>IF(Table1[[#This Row],[RM]]&lt;=5.5,"Small",IF(Table1[[#This Row],[RM]]&lt;=6.5,"Medium","Large"))</f>
        <v>Medium</v>
      </c>
    </row>
    <row r="315" spans="1:17" x14ac:dyDescent="0.3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  <c r="O315" t="str">
        <f>IF(Table1[[#This Row],[MEDV]]&lt;=15,"Low",IF(Table1[[#This Row],[MEDV]]&lt;=25,"Mid","High"))</f>
        <v>Mid</v>
      </c>
      <c r="P315" t="str">
        <f>IF(Table1[[#This Row],[CRIM]]&lt;=1,"Low",IF(Table1[[#This Row],[CRIM]]&lt;=10,"Medium","High"))</f>
        <v>Low</v>
      </c>
      <c r="Q315" t="str">
        <f>IF(Table1[[#This Row],[RM]]&lt;=5.5,"Small",IF(Table1[[#This Row],[RM]]&lt;=6.5,"Medium","Large"))</f>
        <v>Medium</v>
      </c>
    </row>
    <row r="316" spans="1:17" x14ac:dyDescent="0.3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  <c r="O316" t="str">
        <f>IF(Table1[[#This Row],[MEDV]]&lt;=15,"Low",IF(Table1[[#This Row],[MEDV]]&lt;=25,"Mid","High"))</f>
        <v>Mid</v>
      </c>
      <c r="P316" t="str">
        <f>IF(Table1[[#This Row],[CRIM]]&lt;=1,"Low",IF(Table1[[#This Row],[CRIM]]&lt;=10,"Medium","High"))</f>
        <v>Low</v>
      </c>
      <c r="Q316" t="str">
        <f>IF(Table1[[#This Row],[RM]]&lt;=5.5,"Small",IF(Table1[[#This Row],[RM]]&lt;=6.5,"Medium","Large"))</f>
        <v>Large</v>
      </c>
    </row>
    <row r="317" spans="1:17" x14ac:dyDescent="0.3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  <c r="O317" t="str">
        <f>IF(Table1[[#This Row],[MEDV]]&lt;=15,"Low",IF(Table1[[#This Row],[MEDV]]&lt;=25,"Mid","High"))</f>
        <v>Mid</v>
      </c>
      <c r="P317" t="str">
        <f>IF(Table1[[#This Row],[CRIM]]&lt;=1,"Low",IF(Table1[[#This Row],[CRIM]]&lt;=10,"Medium","High"))</f>
        <v>Low</v>
      </c>
      <c r="Q317" t="str">
        <f>IF(Table1[[#This Row],[RM]]&lt;=5.5,"Small",IF(Table1[[#This Row],[RM]]&lt;=6.5,"Medium","Large"))</f>
        <v>Medium</v>
      </c>
    </row>
    <row r="318" spans="1:17" x14ac:dyDescent="0.3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  <c r="O318" t="str">
        <f>IF(Table1[[#This Row],[MEDV]]&lt;=15,"Low",IF(Table1[[#This Row],[MEDV]]&lt;=25,"Mid","High"))</f>
        <v>Mid</v>
      </c>
      <c r="P318" t="str">
        <f>IF(Table1[[#This Row],[CRIM]]&lt;=1,"Low",IF(Table1[[#This Row],[CRIM]]&lt;=10,"Medium","High"))</f>
        <v>Low</v>
      </c>
      <c r="Q318" t="str">
        <f>IF(Table1[[#This Row],[RM]]&lt;=5.5,"Small",IF(Table1[[#This Row],[RM]]&lt;=6.5,"Medium","Large"))</f>
        <v>Medium</v>
      </c>
    </row>
    <row r="319" spans="1:17" x14ac:dyDescent="0.3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  <c r="O319" t="str">
        <f>IF(Table1[[#This Row],[MEDV]]&lt;=15,"Low",IF(Table1[[#This Row],[MEDV]]&lt;=25,"Mid","High"))</f>
        <v>Mid</v>
      </c>
      <c r="P319" t="str">
        <f>IF(Table1[[#This Row],[CRIM]]&lt;=1,"Low",IF(Table1[[#This Row],[CRIM]]&lt;=10,"Medium","High"))</f>
        <v>Low</v>
      </c>
      <c r="Q319" t="str">
        <f>IF(Table1[[#This Row],[RM]]&lt;=5.5,"Small",IF(Table1[[#This Row],[RM]]&lt;=6.5,"Medium","Large"))</f>
        <v>Medium</v>
      </c>
    </row>
    <row r="320" spans="1:17" x14ac:dyDescent="0.3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  <c r="O320" t="str">
        <f>IF(Table1[[#This Row],[MEDV]]&lt;=15,"Low",IF(Table1[[#This Row],[MEDV]]&lt;=25,"Mid","High"))</f>
        <v>Mid</v>
      </c>
      <c r="P320" t="str">
        <f>IF(Table1[[#This Row],[CRIM]]&lt;=1,"Low",IF(Table1[[#This Row],[CRIM]]&lt;=10,"Medium","High"))</f>
        <v>Low</v>
      </c>
      <c r="Q320" t="str">
        <f>IF(Table1[[#This Row],[RM]]&lt;=5.5,"Small",IF(Table1[[#This Row],[RM]]&lt;=6.5,"Medium","Large"))</f>
        <v>Medium</v>
      </c>
    </row>
    <row r="321" spans="1:17" x14ac:dyDescent="0.3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  <c r="O321" t="str">
        <f>IF(Table1[[#This Row],[MEDV]]&lt;=15,"Low",IF(Table1[[#This Row],[MEDV]]&lt;=25,"Mid","High"))</f>
        <v>Mid</v>
      </c>
      <c r="P321" t="str">
        <f>IF(Table1[[#This Row],[CRIM]]&lt;=1,"Low",IF(Table1[[#This Row],[CRIM]]&lt;=10,"Medium","High"))</f>
        <v>Low</v>
      </c>
      <c r="Q321" t="str">
        <f>IF(Table1[[#This Row],[RM]]&lt;=5.5,"Small",IF(Table1[[#This Row],[RM]]&lt;=6.5,"Medium","Large"))</f>
        <v>Medium</v>
      </c>
    </row>
    <row r="322" spans="1:17" x14ac:dyDescent="0.3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  <c r="O322" t="str">
        <f>IF(Table1[[#This Row],[MEDV]]&lt;=15,"Low",IF(Table1[[#This Row],[MEDV]]&lt;=25,"Mid","High"))</f>
        <v>Mid</v>
      </c>
      <c r="P322" t="str">
        <f>IF(Table1[[#This Row],[CRIM]]&lt;=1,"Low",IF(Table1[[#This Row],[CRIM]]&lt;=10,"Medium","High"))</f>
        <v>Low</v>
      </c>
      <c r="Q322" t="str">
        <f>IF(Table1[[#This Row],[RM]]&lt;=5.5,"Small",IF(Table1[[#This Row],[RM]]&lt;=6.5,"Medium","Large"))</f>
        <v>Medium</v>
      </c>
    </row>
    <row r="323" spans="1:17" x14ac:dyDescent="0.3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  <c r="O323" t="str">
        <f>IF(Table1[[#This Row],[MEDV]]&lt;=15,"Low",IF(Table1[[#This Row],[MEDV]]&lt;=25,"Mid","High"))</f>
        <v>Mid</v>
      </c>
      <c r="P323" t="str">
        <f>IF(Table1[[#This Row],[CRIM]]&lt;=1,"Low",IF(Table1[[#This Row],[CRIM]]&lt;=10,"Medium","High"))</f>
        <v>Low</v>
      </c>
      <c r="Q323" t="str">
        <f>IF(Table1[[#This Row],[RM]]&lt;=5.5,"Small",IF(Table1[[#This Row],[RM]]&lt;=6.5,"Medium","Large"))</f>
        <v>Medium</v>
      </c>
    </row>
    <row r="324" spans="1:17" x14ac:dyDescent="0.3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  <c r="O324" t="str">
        <f>IF(Table1[[#This Row],[MEDV]]&lt;=15,"Low",IF(Table1[[#This Row],[MEDV]]&lt;=25,"Mid","High"))</f>
        <v>Mid</v>
      </c>
      <c r="P324" t="str">
        <f>IF(Table1[[#This Row],[CRIM]]&lt;=1,"Low",IF(Table1[[#This Row],[CRIM]]&lt;=10,"Medium","High"))</f>
        <v>Low</v>
      </c>
      <c r="Q324" t="str">
        <f>IF(Table1[[#This Row],[RM]]&lt;=5.5,"Small",IF(Table1[[#This Row],[RM]]&lt;=6.5,"Medium","Large"))</f>
        <v>Medium</v>
      </c>
    </row>
    <row r="325" spans="1:17" x14ac:dyDescent="0.3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  <c r="O325" t="str">
        <f>IF(Table1[[#This Row],[MEDV]]&lt;=15,"Low",IF(Table1[[#This Row],[MEDV]]&lt;=25,"Mid","High"))</f>
        <v>Mid</v>
      </c>
      <c r="P325" t="str">
        <f>IF(Table1[[#This Row],[CRIM]]&lt;=1,"Low",IF(Table1[[#This Row],[CRIM]]&lt;=10,"Medium","High"))</f>
        <v>Low</v>
      </c>
      <c r="Q325" t="str">
        <f>IF(Table1[[#This Row],[RM]]&lt;=5.5,"Small",IF(Table1[[#This Row],[RM]]&lt;=6.5,"Medium","Large"))</f>
        <v>Medium</v>
      </c>
    </row>
    <row r="326" spans="1:17" x14ac:dyDescent="0.3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  <c r="O326" t="str">
        <f>IF(Table1[[#This Row],[MEDV]]&lt;=15,"Low",IF(Table1[[#This Row],[MEDV]]&lt;=25,"Mid","High"))</f>
        <v>Mid</v>
      </c>
      <c r="P326" t="str">
        <f>IF(Table1[[#This Row],[CRIM]]&lt;=1,"Low",IF(Table1[[#This Row],[CRIM]]&lt;=10,"Medium","High"))</f>
        <v>Low</v>
      </c>
      <c r="Q326" t="str">
        <f>IF(Table1[[#This Row],[RM]]&lt;=5.5,"Small",IF(Table1[[#This Row],[RM]]&lt;=6.5,"Medium","Large"))</f>
        <v>Medium</v>
      </c>
    </row>
    <row r="327" spans="1:17" x14ac:dyDescent="0.3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  <c r="O327" t="str">
        <f>IF(Table1[[#This Row],[MEDV]]&lt;=15,"Low",IF(Table1[[#This Row],[MEDV]]&lt;=25,"Mid","High"))</f>
        <v>Mid</v>
      </c>
      <c r="P327" t="str">
        <f>IF(Table1[[#This Row],[CRIM]]&lt;=1,"Low",IF(Table1[[#This Row],[CRIM]]&lt;=10,"Medium","High"))</f>
        <v>Low</v>
      </c>
      <c r="Q327" t="str">
        <f>IF(Table1[[#This Row],[RM]]&lt;=5.5,"Small",IF(Table1[[#This Row],[RM]]&lt;=6.5,"Medium","Large"))</f>
        <v>Medium</v>
      </c>
    </row>
    <row r="328" spans="1:17" x14ac:dyDescent="0.3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  <c r="O328" t="str">
        <f>IF(Table1[[#This Row],[MEDV]]&lt;=15,"Low",IF(Table1[[#This Row],[MEDV]]&lt;=25,"Mid","High"))</f>
        <v>Mid</v>
      </c>
      <c r="P328" t="str">
        <f>IF(Table1[[#This Row],[CRIM]]&lt;=1,"Low",IF(Table1[[#This Row],[CRIM]]&lt;=10,"Medium","High"))</f>
        <v>Low</v>
      </c>
      <c r="Q328" t="str">
        <f>IF(Table1[[#This Row],[RM]]&lt;=5.5,"Small",IF(Table1[[#This Row],[RM]]&lt;=6.5,"Medium","Large"))</f>
        <v>Medium</v>
      </c>
    </row>
    <row r="329" spans="1:17" x14ac:dyDescent="0.3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  <c r="O329" t="str">
        <f>IF(Table1[[#This Row],[MEDV]]&lt;=15,"Low",IF(Table1[[#This Row],[MEDV]]&lt;=25,"Mid","High"))</f>
        <v>Mid</v>
      </c>
      <c r="P329" t="str">
        <f>IF(Table1[[#This Row],[CRIM]]&lt;=1,"Low",IF(Table1[[#This Row],[CRIM]]&lt;=10,"Medium","High"))</f>
        <v>Low</v>
      </c>
      <c r="Q329" t="str">
        <f>IF(Table1[[#This Row],[RM]]&lt;=5.5,"Small",IF(Table1[[#This Row],[RM]]&lt;=6.5,"Medium","Large"))</f>
        <v>Medium</v>
      </c>
    </row>
    <row r="330" spans="1:17" x14ac:dyDescent="0.3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  <c r="O330" t="str">
        <f>IF(Table1[[#This Row],[MEDV]]&lt;=15,"Low",IF(Table1[[#This Row],[MEDV]]&lt;=25,"Mid","High"))</f>
        <v>Mid</v>
      </c>
      <c r="P330" t="str">
        <f>IF(Table1[[#This Row],[CRIM]]&lt;=1,"Low",IF(Table1[[#This Row],[CRIM]]&lt;=10,"Medium","High"))</f>
        <v>Low</v>
      </c>
      <c r="Q330" t="str">
        <f>IF(Table1[[#This Row],[RM]]&lt;=5.5,"Small",IF(Table1[[#This Row],[RM]]&lt;=6.5,"Medium","Large"))</f>
        <v>Medium</v>
      </c>
    </row>
    <row r="331" spans="1:17" x14ac:dyDescent="0.3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  <c r="O331" t="str">
        <f>IF(Table1[[#This Row],[MEDV]]&lt;=15,"Low",IF(Table1[[#This Row],[MEDV]]&lt;=25,"Mid","High"))</f>
        <v>Mid</v>
      </c>
      <c r="P331" t="str">
        <f>IF(Table1[[#This Row],[CRIM]]&lt;=1,"Low",IF(Table1[[#This Row],[CRIM]]&lt;=10,"Medium","High"))</f>
        <v>Low</v>
      </c>
      <c r="Q331" t="str">
        <f>IF(Table1[[#This Row],[RM]]&lt;=5.5,"Small",IF(Table1[[#This Row],[RM]]&lt;=6.5,"Medium","Large"))</f>
        <v>Medium</v>
      </c>
    </row>
    <row r="332" spans="1:17" x14ac:dyDescent="0.3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  <c r="O332" t="str">
        <f>IF(Table1[[#This Row],[MEDV]]&lt;=15,"Low",IF(Table1[[#This Row],[MEDV]]&lt;=25,"Mid","High"))</f>
        <v>Mid</v>
      </c>
      <c r="P332" t="str">
        <f>IF(Table1[[#This Row],[CRIM]]&lt;=1,"Low",IF(Table1[[#This Row],[CRIM]]&lt;=10,"Medium","High"))</f>
        <v>Low</v>
      </c>
      <c r="Q332" t="str">
        <f>IF(Table1[[#This Row],[RM]]&lt;=5.5,"Small",IF(Table1[[#This Row],[RM]]&lt;=6.5,"Medium","Large"))</f>
        <v>Medium</v>
      </c>
    </row>
    <row r="333" spans="1:17" x14ac:dyDescent="0.3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  <c r="O333" t="str">
        <f>IF(Table1[[#This Row],[MEDV]]&lt;=15,"Low",IF(Table1[[#This Row],[MEDV]]&lt;=25,"Mid","High"))</f>
        <v>Mid</v>
      </c>
      <c r="P333" t="str">
        <f>IF(Table1[[#This Row],[CRIM]]&lt;=1,"Low",IF(Table1[[#This Row],[CRIM]]&lt;=10,"Medium","High"))</f>
        <v>Low</v>
      </c>
      <c r="Q333" t="str">
        <f>IF(Table1[[#This Row],[RM]]&lt;=5.5,"Small",IF(Table1[[#This Row],[RM]]&lt;=6.5,"Medium","Large"))</f>
        <v>Medium</v>
      </c>
    </row>
    <row r="334" spans="1:17" x14ac:dyDescent="0.3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  <c r="O334" t="str">
        <f>IF(Table1[[#This Row],[MEDV]]&lt;=15,"Low",IF(Table1[[#This Row],[MEDV]]&lt;=25,"Mid","High"))</f>
        <v>Mid</v>
      </c>
      <c r="P334" t="str">
        <f>IF(Table1[[#This Row],[CRIM]]&lt;=1,"Low",IF(Table1[[#This Row],[CRIM]]&lt;=10,"Medium","High"))</f>
        <v>Low</v>
      </c>
      <c r="Q334" t="str">
        <f>IF(Table1[[#This Row],[RM]]&lt;=5.5,"Small",IF(Table1[[#This Row],[RM]]&lt;=6.5,"Medium","Large"))</f>
        <v>Medium</v>
      </c>
    </row>
    <row r="335" spans="1:17" x14ac:dyDescent="0.3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  <c r="O335" t="str">
        <f>IF(Table1[[#This Row],[MEDV]]&lt;=15,"Low",IF(Table1[[#This Row],[MEDV]]&lt;=25,"Mid","High"))</f>
        <v>Mid</v>
      </c>
      <c r="P335" t="str">
        <f>IF(Table1[[#This Row],[CRIM]]&lt;=1,"Low",IF(Table1[[#This Row],[CRIM]]&lt;=10,"Medium","High"))</f>
        <v>Low</v>
      </c>
      <c r="Q335" t="str">
        <f>IF(Table1[[#This Row],[RM]]&lt;=5.5,"Small",IF(Table1[[#This Row],[RM]]&lt;=6.5,"Medium","Large"))</f>
        <v>Medium</v>
      </c>
    </row>
    <row r="336" spans="1:17" x14ac:dyDescent="0.3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  <c r="O336" t="str">
        <f>IF(Table1[[#This Row],[MEDV]]&lt;=15,"Low",IF(Table1[[#This Row],[MEDV]]&lt;=25,"Mid","High"))</f>
        <v>Mid</v>
      </c>
      <c r="P336" t="str">
        <f>IF(Table1[[#This Row],[CRIM]]&lt;=1,"Low",IF(Table1[[#This Row],[CRIM]]&lt;=10,"Medium","High"))</f>
        <v>Low</v>
      </c>
      <c r="Q336" t="str">
        <f>IF(Table1[[#This Row],[RM]]&lt;=5.5,"Small",IF(Table1[[#This Row],[RM]]&lt;=6.5,"Medium","Large"))</f>
        <v>Medium</v>
      </c>
    </row>
    <row r="337" spans="1:17" x14ac:dyDescent="0.3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  <c r="O337" t="str">
        <f>IF(Table1[[#This Row],[MEDV]]&lt;=15,"Low",IF(Table1[[#This Row],[MEDV]]&lt;=25,"Mid","High"))</f>
        <v>Mid</v>
      </c>
      <c r="P337" t="str">
        <f>IF(Table1[[#This Row],[CRIM]]&lt;=1,"Low",IF(Table1[[#This Row],[CRIM]]&lt;=10,"Medium","High"))</f>
        <v>Low</v>
      </c>
      <c r="Q337" t="str">
        <f>IF(Table1[[#This Row],[RM]]&lt;=5.5,"Small",IF(Table1[[#This Row],[RM]]&lt;=6.5,"Medium","Large"))</f>
        <v>Medium</v>
      </c>
    </row>
    <row r="338" spans="1:17" x14ac:dyDescent="0.3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  <c r="O338" t="str">
        <f>IF(Table1[[#This Row],[MEDV]]&lt;=15,"Low",IF(Table1[[#This Row],[MEDV]]&lt;=25,"Mid","High"))</f>
        <v>Mid</v>
      </c>
      <c r="P338" t="str">
        <f>IF(Table1[[#This Row],[CRIM]]&lt;=1,"Low",IF(Table1[[#This Row],[CRIM]]&lt;=10,"Medium","High"))</f>
        <v>Low</v>
      </c>
      <c r="Q338" t="str">
        <f>IF(Table1[[#This Row],[RM]]&lt;=5.5,"Small",IF(Table1[[#This Row],[RM]]&lt;=6.5,"Medium","Large"))</f>
        <v>Medium</v>
      </c>
    </row>
    <row r="339" spans="1:17" x14ac:dyDescent="0.3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  <c r="O339" t="str">
        <f>IF(Table1[[#This Row],[MEDV]]&lt;=15,"Low",IF(Table1[[#This Row],[MEDV]]&lt;=25,"Mid","High"))</f>
        <v>Mid</v>
      </c>
      <c r="P339" t="str">
        <f>IF(Table1[[#This Row],[CRIM]]&lt;=1,"Low",IF(Table1[[#This Row],[CRIM]]&lt;=10,"Medium","High"))</f>
        <v>Low</v>
      </c>
      <c r="Q339" t="str">
        <f>IF(Table1[[#This Row],[RM]]&lt;=5.5,"Small",IF(Table1[[#This Row],[RM]]&lt;=6.5,"Medium","Large"))</f>
        <v>Medium</v>
      </c>
    </row>
    <row r="340" spans="1:17" x14ac:dyDescent="0.3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  <c r="O340" t="str">
        <f>IF(Table1[[#This Row],[MEDV]]&lt;=15,"Low",IF(Table1[[#This Row],[MEDV]]&lt;=25,"Mid","High"))</f>
        <v>Mid</v>
      </c>
      <c r="P340" t="str">
        <f>IF(Table1[[#This Row],[CRIM]]&lt;=1,"Low",IF(Table1[[#This Row],[CRIM]]&lt;=10,"Medium","High"))</f>
        <v>Low</v>
      </c>
      <c r="Q340" t="str">
        <f>IF(Table1[[#This Row],[RM]]&lt;=5.5,"Small",IF(Table1[[#This Row],[RM]]&lt;=6.5,"Medium","Large"))</f>
        <v>Medium</v>
      </c>
    </row>
    <row r="341" spans="1:17" x14ac:dyDescent="0.3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  <c r="O341" t="str">
        <f>IF(Table1[[#This Row],[MEDV]]&lt;=15,"Low",IF(Table1[[#This Row],[MEDV]]&lt;=25,"Mid","High"))</f>
        <v>Mid</v>
      </c>
      <c r="P341" t="str">
        <f>IF(Table1[[#This Row],[CRIM]]&lt;=1,"Low",IF(Table1[[#This Row],[CRIM]]&lt;=10,"Medium","High"))</f>
        <v>Low</v>
      </c>
      <c r="Q341" t="str">
        <f>IF(Table1[[#This Row],[RM]]&lt;=5.5,"Small",IF(Table1[[#This Row],[RM]]&lt;=6.5,"Medium","Large"))</f>
        <v>Medium</v>
      </c>
    </row>
    <row r="342" spans="1:17" x14ac:dyDescent="0.3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  <c r="O342" t="str">
        <f>IF(Table1[[#This Row],[MEDV]]&lt;=15,"Low",IF(Table1[[#This Row],[MEDV]]&lt;=25,"Mid","High"))</f>
        <v>Mid</v>
      </c>
      <c r="P342" t="str">
        <f>IF(Table1[[#This Row],[CRIM]]&lt;=1,"Low",IF(Table1[[#This Row],[CRIM]]&lt;=10,"Medium","High"))</f>
        <v>Low</v>
      </c>
      <c r="Q342" t="str">
        <f>IF(Table1[[#This Row],[RM]]&lt;=5.5,"Small",IF(Table1[[#This Row],[RM]]&lt;=6.5,"Medium","Large"))</f>
        <v>Medium</v>
      </c>
    </row>
    <row r="343" spans="1:17" x14ac:dyDescent="0.3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  <c r="O343" t="str">
        <f>IF(Table1[[#This Row],[MEDV]]&lt;=15,"Low",IF(Table1[[#This Row],[MEDV]]&lt;=25,"Mid","High"))</f>
        <v>High</v>
      </c>
      <c r="P343" t="str">
        <f>IF(Table1[[#This Row],[CRIM]]&lt;=1,"Low",IF(Table1[[#This Row],[CRIM]]&lt;=10,"Medium","High"))</f>
        <v>Low</v>
      </c>
      <c r="Q343" t="str">
        <f>IF(Table1[[#This Row],[RM]]&lt;=5.5,"Small",IF(Table1[[#This Row],[RM]]&lt;=6.5,"Medium","Large"))</f>
        <v>Large</v>
      </c>
    </row>
    <row r="344" spans="1:17" x14ac:dyDescent="0.3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  <c r="O344" t="str">
        <f>IF(Table1[[#This Row],[MEDV]]&lt;=15,"Low",IF(Table1[[#This Row],[MEDV]]&lt;=25,"Mid","High"))</f>
        <v>Mid</v>
      </c>
      <c r="P344" t="str">
        <f>IF(Table1[[#This Row],[CRIM]]&lt;=1,"Low",IF(Table1[[#This Row],[CRIM]]&lt;=10,"Medium","High"))</f>
        <v>Low</v>
      </c>
      <c r="Q344" t="str">
        <f>IF(Table1[[#This Row],[RM]]&lt;=5.5,"Small",IF(Table1[[#This Row],[RM]]&lt;=6.5,"Medium","Large"))</f>
        <v>Large</v>
      </c>
    </row>
    <row r="345" spans="1:17" x14ac:dyDescent="0.3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  <c r="O345" t="str">
        <f>IF(Table1[[#This Row],[MEDV]]&lt;=15,"Low",IF(Table1[[#This Row],[MEDV]]&lt;=25,"Mid","High"))</f>
        <v>Mid</v>
      </c>
      <c r="P345" t="str">
        <f>IF(Table1[[#This Row],[CRIM]]&lt;=1,"Low",IF(Table1[[#This Row],[CRIM]]&lt;=10,"Medium","High"))</f>
        <v>Low</v>
      </c>
      <c r="Q345" t="str">
        <f>IF(Table1[[#This Row],[RM]]&lt;=5.5,"Small",IF(Table1[[#This Row],[RM]]&lt;=6.5,"Medium","Large"))</f>
        <v>Large</v>
      </c>
    </row>
    <row r="346" spans="1:17" x14ac:dyDescent="0.3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  <c r="O346" t="str">
        <f>IF(Table1[[#This Row],[MEDV]]&lt;=15,"Low",IF(Table1[[#This Row],[MEDV]]&lt;=25,"Mid","High"))</f>
        <v>High</v>
      </c>
      <c r="P346" t="str">
        <f>IF(Table1[[#This Row],[CRIM]]&lt;=1,"Low",IF(Table1[[#This Row],[CRIM]]&lt;=10,"Medium","High"))</f>
        <v>Low</v>
      </c>
      <c r="Q346" t="str">
        <f>IF(Table1[[#This Row],[RM]]&lt;=5.5,"Small",IF(Table1[[#This Row],[RM]]&lt;=6.5,"Medium","Large"))</f>
        <v>Large</v>
      </c>
    </row>
    <row r="347" spans="1:17" x14ac:dyDescent="0.3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  <c r="O347" t="str">
        <f>IF(Table1[[#This Row],[MEDV]]&lt;=15,"Low",IF(Table1[[#This Row],[MEDV]]&lt;=25,"Mid","High"))</f>
        <v>Mid</v>
      </c>
      <c r="P347" t="str">
        <f>IF(Table1[[#This Row],[CRIM]]&lt;=1,"Low",IF(Table1[[#This Row],[CRIM]]&lt;=10,"Medium","High"))</f>
        <v>Low</v>
      </c>
      <c r="Q347" t="str">
        <f>IF(Table1[[#This Row],[RM]]&lt;=5.5,"Small",IF(Table1[[#This Row],[RM]]&lt;=6.5,"Medium","Large"))</f>
        <v>Medium</v>
      </c>
    </row>
    <row r="348" spans="1:17" x14ac:dyDescent="0.3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  <c r="O348" t="str">
        <f>IF(Table1[[#This Row],[MEDV]]&lt;=15,"Low",IF(Table1[[#This Row],[MEDV]]&lt;=25,"Mid","High"))</f>
        <v>Mid</v>
      </c>
      <c r="P348" t="str">
        <f>IF(Table1[[#This Row],[CRIM]]&lt;=1,"Low",IF(Table1[[#This Row],[CRIM]]&lt;=10,"Medium","High"))</f>
        <v>Low</v>
      </c>
      <c r="Q348" t="str">
        <f>IF(Table1[[#This Row],[RM]]&lt;=5.5,"Small",IF(Table1[[#This Row],[RM]]&lt;=6.5,"Medium","Large"))</f>
        <v>Medium</v>
      </c>
    </row>
    <row r="349" spans="1:17" x14ac:dyDescent="0.3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  <c r="O349" t="str">
        <f>IF(Table1[[#This Row],[MEDV]]&lt;=15,"Low",IF(Table1[[#This Row],[MEDV]]&lt;=25,"Mid","High"))</f>
        <v>Mid</v>
      </c>
      <c r="P349" t="str">
        <f>IF(Table1[[#This Row],[CRIM]]&lt;=1,"Low",IF(Table1[[#This Row],[CRIM]]&lt;=10,"Medium","High"))</f>
        <v>Low</v>
      </c>
      <c r="Q349" t="str">
        <f>IF(Table1[[#This Row],[RM]]&lt;=5.5,"Small",IF(Table1[[#This Row],[RM]]&lt;=6.5,"Medium","Large"))</f>
        <v>Large</v>
      </c>
    </row>
    <row r="350" spans="1:17" x14ac:dyDescent="0.3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  <c r="O350" t="str">
        <f>IF(Table1[[#This Row],[MEDV]]&lt;=15,"Low",IF(Table1[[#This Row],[MEDV]]&lt;=25,"Mid","High"))</f>
        <v>Mid</v>
      </c>
      <c r="P350" t="str">
        <f>IF(Table1[[#This Row],[CRIM]]&lt;=1,"Low",IF(Table1[[#This Row],[CRIM]]&lt;=10,"Medium","High"))</f>
        <v>Low</v>
      </c>
      <c r="Q350" t="str">
        <f>IF(Table1[[#This Row],[RM]]&lt;=5.5,"Small",IF(Table1[[#This Row],[RM]]&lt;=6.5,"Medium","Large"))</f>
        <v>Large</v>
      </c>
    </row>
    <row r="351" spans="1:17" x14ac:dyDescent="0.3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  <c r="O351" t="str">
        <f>IF(Table1[[#This Row],[MEDV]]&lt;=15,"Low",IF(Table1[[#This Row],[MEDV]]&lt;=25,"Mid","High"))</f>
        <v>High</v>
      </c>
      <c r="P351" t="str">
        <f>IF(Table1[[#This Row],[CRIM]]&lt;=1,"Low",IF(Table1[[#This Row],[CRIM]]&lt;=10,"Medium","High"))</f>
        <v>Low</v>
      </c>
      <c r="Q351" t="str">
        <f>IF(Table1[[#This Row],[RM]]&lt;=5.5,"Small",IF(Table1[[#This Row],[RM]]&lt;=6.5,"Medium","Large"))</f>
        <v>Large</v>
      </c>
    </row>
    <row r="352" spans="1:17" x14ac:dyDescent="0.3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  <c r="O352" t="str">
        <f>IF(Table1[[#This Row],[MEDV]]&lt;=15,"Low",IF(Table1[[#This Row],[MEDV]]&lt;=25,"Mid","High"))</f>
        <v>Mid</v>
      </c>
      <c r="P352" t="str">
        <f>IF(Table1[[#This Row],[CRIM]]&lt;=1,"Low",IF(Table1[[#This Row],[CRIM]]&lt;=10,"Medium","High"))</f>
        <v>Low</v>
      </c>
      <c r="Q352" t="str">
        <f>IF(Table1[[#This Row],[RM]]&lt;=5.5,"Small",IF(Table1[[#This Row],[RM]]&lt;=6.5,"Medium","Large"))</f>
        <v>Medium</v>
      </c>
    </row>
    <row r="353" spans="1:17" x14ac:dyDescent="0.3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  <c r="O353" t="str">
        <f>IF(Table1[[#This Row],[MEDV]]&lt;=15,"Low",IF(Table1[[#This Row],[MEDV]]&lt;=25,"Mid","High"))</f>
        <v>Mid</v>
      </c>
      <c r="P353" t="str">
        <f>IF(Table1[[#This Row],[CRIM]]&lt;=1,"Low",IF(Table1[[#This Row],[CRIM]]&lt;=10,"Medium","High"))</f>
        <v>Low</v>
      </c>
      <c r="Q353" t="str">
        <f>IF(Table1[[#This Row],[RM]]&lt;=5.5,"Small",IF(Table1[[#This Row],[RM]]&lt;=6.5,"Medium","Large"))</f>
        <v>Large</v>
      </c>
    </row>
    <row r="354" spans="1:17" x14ac:dyDescent="0.3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  <c r="O354" t="str">
        <f>IF(Table1[[#This Row],[MEDV]]&lt;=15,"Low",IF(Table1[[#This Row],[MEDV]]&lt;=25,"Mid","High"))</f>
        <v>Mid</v>
      </c>
      <c r="P354" t="str">
        <f>IF(Table1[[#This Row],[CRIM]]&lt;=1,"Low",IF(Table1[[#This Row],[CRIM]]&lt;=10,"Medium","High"))</f>
        <v>Low</v>
      </c>
      <c r="Q354" t="str">
        <f>IF(Table1[[#This Row],[RM]]&lt;=5.5,"Small",IF(Table1[[#This Row],[RM]]&lt;=6.5,"Medium","Large"))</f>
        <v>Medium</v>
      </c>
    </row>
    <row r="355" spans="1:17" x14ac:dyDescent="0.3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  <c r="O355" t="str">
        <f>IF(Table1[[#This Row],[MEDV]]&lt;=15,"Low",IF(Table1[[#This Row],[MEDV]]&lt;=25,"Mid","High"))</f>
        <v>High</v>
      </c>
      <c r="P355" t="str">
        <f>IF(Table1[[#This Row],[CRIM]]&lt;=1,"Low",IF(Table1[[#This Row],[CRIM]]&lt;=10,"Medium","High"))</f>
        <v>Low</v>
      </c>
      <c r="Q355" t="str">
        <f>IF(Table1[[#This Row],[RM]]&lt;=5.5,"Small",IF(Table1[[#This Row],[RM]]&lt;=6.5,"Medium","Large"))</f>
        <v>Large</v>
      </c>
    </row>
    <row r="356" spans="1:17" x14ac:dyDescent="0.3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  <c r="O356" t="str">
        <f>IF(Table1[[#This Row],[MEDV]]&lt;=15,"Low",IF(Table1[[#This Row],[MEDV]]&lt;=25,"Mid","High"))</f>
        <v>Mid</v>
      </c>
      <c r="P356" t="str">
        <f>IF(Table1[[#This Row],[CRIM]]&lt;=1,"Low",IF(Table1[[#This Row],[CRIM]]&lt;=10,"Medium","High"))</f>
        <v>Low</v>
      </c>
      <c r="Q356" t="str">
        <f>IF(Table1[[#This Row],[RM]]&lt;=5.5,"Small",IF(Table1[[#This Row],[RM]]&lt;=6.5,"Medium","Large"))</f>
        <v>Medium</v>
      </c>
    </row>
    <row r="357" spans="1:17" x14ac:dyDescent="0.3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  <c r="O357" t="str">
        <f>IF(Table1[[#This Row],[MEDV]]&lt;=15,"Low",IF(Table1[[#This Row],[MEDV]]&lt;=25,"Mid","High"))</f>
        <v>Mid</v>
      </c>
      <c r="P357" t="str">
        <f>IF(Table1[[#This Row],[CRIM]]&lt;=1,"Low",IF(Table1[[#This Row],[CRIM]]&lt;=10,"Medium","High"))</f>
        <v>Low</v>
      </c>
      <c r="Q357" t="str">
        <f>IF(Table1[[#This Row],[RM]]&lt;=5.5,"Small",IF(Table1[[#This Row],[RM]]&lt;=6.5,"Medium","Large"))</f>
        <v>Medium</v>
      </c>
    </row>
    <row r="358" spans="1:17" x14ac:dyDescent="0.3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  <c r="O358" t="str">
        <f>IF(Table1[[#This Row],[MEDV]]&lt;=15,"Low",IF(Table1[[#This Row],[MEDV]]&lt;=25,"Mid","High"))</f>
        <v>Mid</v>
      </c>
      <c r="P358" t="str">
        <f>IF(Table1[[#This Row],[CRIM]]&lt;=1,"Low",IF(Table1[[#This Row],[CRIM]]&lt;=10,"Medium","High"))</f>
        <v>Medium</v>
      </c>
      <c r="Q358" t="str">
        <f>IF(Table1[[#This Row],[RM]]&lt;=5.5,"Small",IF(Table1[[#This Row],[RM]]&lt;=6.5,"Medium","Large"))</f>
        <v>Medium</v>
      </c>
    </row>
    <row r="359" spans="1:17" x14ac:dyDescent="0.3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  <c r="O359" t="str">
        <f>IF(Table1[[#This Row],[MEDV]]&lt;=15,"Low",IF(Table1[[#This Row],[MEDV]]&lt;=25,"Mid","High"))</f>
        <v>Mid</v>
      </c>
      <c r="P359" t="str">
        <f>IF(Table1[[#This Row],[CRIM]]&lt;=1,"Low",IF(Table1[[#This Row],[CRIM]]&lt;=10,"Medium","High"))</f>
        <v>Medium</v>
      </c>
      <c r="Q359" t="str">
        <f>IF(Table1[[#This Row],[RM]]&lt;=5.5,"Small",IF(Table1[[#This Row],[RM]]&lt;=6.5,"Medium","Large"))</f>
        <v>Medium</v>
      </c>
    </row>
    <row r="360" spans="1:17" x14ac:dyDescent="0.3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  <c r="O360" t="str">
        <f>IF(Table1[[#This Row],[MEDV]]&lt;=15,"Low",IF(Table1[[#This Row],[MEDV]]&lt;=25,"Mid","High"))</f>
        <v>Mid</v>
      </c>
      <c r="P360" t="str">
        <f>IF(Table1[[#This Row],[CRIM]]&lt;=1,"Low",IF(Table1[[#This Row],[CRIM]]&lt;=10,"Medium","High"))</f>
        <v>Medium</v>
      </c>
      <c r="Q360" t="str">
        <f>IF(Table1[[#This Row],[RM]]&lt;=5.5,"Small",IF(Table1[[#This Row],[RM]]&lt;=6.5,"Medium","Large"))</f>
        <v>Medium</v>
      </c>
    </row>
    <row r="361" spans="1:17" x14ac:dyDescent="0.3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  <c r="O361" t="str">
        <f>IF(Table1[[#This Row],[MEDV]]&lt;=15,"Low",IF(Table1[[#This Row],[MEDV]]&lt;=25,"Mid","High"))</f>
        <v>Mid</v>
      </c>
      <c r="P361" t="str">
        <f>IF(Table1[[#This Row],[CRIM]]&lt;=1,"Low",IF(Table1[[#This Row],[CRIM]]&lt;=10,"Medium","High"))</f>
        <v>Medium</v>
      </c>
      <c r="Q361" t="str">
        <f>IF(Table1[[#This Row],[RM]]&lt;=5.5,"Small",IF(Table1[[#This Row],[RM]]&lt;=6.5,"Medium","Large"))</f>
        <v>Medium</v>
      </c>
    </row>
    <row r="362" spans="1:17" x14ac:dyDescent="0.3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  <c r="O362" t="str">
        <f>IF(Table1[[#This Row],[MEDV]]&lt;=15,"Low",IF(Table1[[#This Row],[MEDV]]&lt;=25,"Mid","High"))</f>
        <v>Mid</v>
      </c>
      <c r="P362" t="str">
        <f>IF(Table1[[#This Row],[CRIM]]&lt;=1,"Low",IF(Table1[[#This Row],[CRIM]]&lt;=10,"Medium","High"))</f>
        <v>Medium</v>
      </c>
      <c r="Q362" t="str">
        <f>IF(Table1[[#This Row],[RM]]&lt;=5.5,"Small",IF(Table1[[#This Row],[RM]]&lt;=6.5,"Medium","Large"))</f>
        <v>Medium</v>
      </c>
    </row>
    <row r="363" spans="1:17" x14ac:dyDescent="0.3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  <c r="O363" t="str">
        <f>IF(Table1[[#This Row],[MEDV]]&lt;=15,"Low",IF(Table1[[#This Row],[MEDV]]&lt;=25,"Mid","High"))</f>
        <v>Mid</v>
      </c>
      <c r="P363" t="str">
        <f>IF(Table1[[#This Row],[CRIM]]&lt;=1,"Low",IF(Table1[[#This Row],[CRIM]]&lt;=10,"Medium","High"))</f>
        <v>Medium</v>
      </c>
      <c r="Q363" t="str">
        <f>IF(Table1[[#This Row],[RM]]&lt;=5.5,"Small",IF(Table1[[#This Row],[RM]]&lt;=6.5,"Medium","Large"))</f>
        <v>Medium</v>
      </c>
    </row>
    <row r="364" spans="1:17" x14ac:dyDescent="0.3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  <c r="O364" t="str">
        <f>IF(Table1[[#This Row],[MEDV]]&lt;=15,"Low",IF(Table1[[#This Row],[MEDV]]&lt;=25,"Mid","High"))</f>
        <v>Mid</v>
      </c>
      <c r="P364" t="str">
        <f>IF(Table1[[#This Row],[CRIM]]&lt;=1,"Low",IF(Table1[[#This Row],[CRIM]]&lt;=10,"Medium","High"))</f>
        <v>Medium</v>
      </c>
      <c r="Q364" t="str">
        <f>IF(Table1[[#This Row],[RM]]&lt;=5.5,"Small",IF(Table1[[#This Row],[RM]]&lt;=6.5,"Medium","Large"))</f>
        <v>Small</v>
      </c>
    </row>
    <row r="365" spans="1:17" x14ac:dyDescent="0.3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  <c r="O365" t="str">
        <f>IF(Table1[[#This Row],[MEDV]]&lt;=15,"Low",IF(Table1[[#This Row],[MEDV]]&lt;=25,"Mid","High"))</f>
        <v>Mid</v>
      </c>
      <c r="P365" t="str">
        <f>IF(Table1[[#This Row],[CRIM]]&lt;=1,"Low",IF(Table1[[#This Row],[CRIM]]&lt;=10,"Medium","High"))</f>
        <v>Medium</v>
      </c>
      <c r="Q365" t="str">
        <f>IF(Table1[[#This Row],[RM]]&lt;=5.5,"Small",IF(Table1[[#This Row],[RM]]&lt;=6.5,"Medium","Large"))</f>
        <v>Medium</v>
      </c>
    </row>
    <row r="366" spans="1:17" x14ac:dyDescent="0.3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  <c r="O366" t="str">
        <f>IF(Table1[[#This Row],[MEDV]]&lt;=15,"Low",IF(Table1[[#This Row],[MEDV]]&lt;=25,"Mid","High"))</f>
        <v>Mid</v>
      </c>
      <c r="P366" t="str">
        <f>IF(Table1[[#This Row],[CRIM]]&lt;=1,"Low",IF(Table1[[#This Row],[CRIM]]&lt;=10,"Medium","High"))</f>
        <v>Medium</v>
      </c>
      <c r="Q366" t="str">
        <f>IF(Table1[[#This Row],[RM]]&lt;=5.5,"Small",IF(Table1[[#This Row],[RM]]&lt;=6.5,"Medium","Large"))</f>
        <v>Large</v>
      </c>
    </row>
    <row r="367" spans="1:17" x14ac:dyDescent="0.3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  <c r="O367" t="str">
        <f>IF(Table1[[#This Row],[MEDV]]&lt;=15,"Low",IF(Table1[[#This Row],[MEDV]]&lt;=25,"Mid","High"))</f>
        <v>High</v>
      </c>
      <c r="P367" t="str">
        <f>IF(Table1[[#This Row],[CRIM]]&lt;=1,"Low",IF(Table1[[#This Row],[CRIM]]&lt;=10,"Medium","High"))</f>
        <v>Medium</v>
      </c>
      <c r="Q367" t="str">
        <f>IF(Table1[[#This Row],[RM]]&lt;=5.5,"Small",IF(Table1[[#This Row],[RM]]&lt;=6.5,"Medium","Large"))</f>
        <v>Small</v>
      </c>
    </row>
    <row r="368" spans="1:17" x14ac:dyDescent="0.3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  <c r="O368" t="str">
        <f>IF(Table1[[#This Row],[MEDV]]&lt;=15,"Low",IF(Table1[[#This Row],[MEDV]]&lt;=25,"Mid","High"))</f>
        <v>Mid</v>
      </c>
      <c r="P368" t="str">
        <f>IF(Table1[[#This Row],[CRIM]]&lt;=1,"Low",IF(Table1[[#This Row],[CRIM]]&lt;=10,"Medium","High"))</f>
        <v>Medium</v>
      </c>
      <c r="Q368" t="str">
        <f>IF(Table1[[#This Row],[RM]]&lt;=5.5,"Small",IF(Table1[[#This Row],[RM]]&lt;=6.5,"Medium","Large"))</f>
        <v>Small</v>
      </c>
    </row>
    <row r="369" spans="1:17" x14ac:dyDescent="0.3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  <c r="O369" t="str">
        <f>IF(Table1[[#This Row],[MEDV]]&lt;=15,"Low",IF(Table1[[#This Row],[MEDV]]&lt;=25,"Mid","High"))</f>
        <v>Mid</v>
      </c>
      <c r="P369" t="str">
        <f>IF(Table1[[#This Row],[CRIM]]&lt;=1,"Low",IF(Table1[[#This Row],[CRIM]]&lt;=10,"Medium","High"))</f>
        <v>High</v>
      </c>
      <c r="Q369" t="str">
        <f>IF(Table1[[#This Row],[RM]]&lt;=5.5,"Small",IF(Table1[[#This Row],[RM]]&lt;=6.5,"Medium","Large"))</f>
        <v>Small</v>
      </c>
    </row>
    <row r="370" spans="1:17" x14ac:dyDescent="0.3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  <c r="O370" t="str">
        <f>IF(Table1[[#This Row],[MEDV]]&lt;=15,"Low",IF(Table1[[#This Row],[MEDV]]&lt;=25,"Mid","High"))</f>
        <v>High</v>
      </c>
      <c r="P370" t="str">
        <f>IF(Table1[[#This Row],[CRIM]]&lt;=1,"Low",IF(Table1[[#This Row],[CRIM]]&lt;=10,"Medium","High"))</f>
        <v>Medium</v>
      </c>
      <c r="Q370" t="str">
        <f>IF(Table1[[#This Row],[RM]]&lt;=5.5,"Small",IF(Table1[[#This Row],[RM]]&lt;=6.5,"Medium","Large"))</f>
        <v>Small</v>
      </c>
    </row>
    <row r="371" spans="1:17" x14ac:dyDescent="0.3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  <c r="O371" t="str">
        <f>IF(Table1[[#This Row],[MEDV]]&lt;=15,"Low",IF(Table1[[#This Row],[MEDV]]&lt;=25,"Mid","High"))</f>
        <v>High</v>
      </c>
      <c r="P371" t="str">
        <f>IF(Table1[[#This Row],[CRIM]]&lt;=1,"Low",IF(Table1[[#This Row],[CRIM]]&lt;=10,"Medium","High"))</f>
        <v>Medium</v>
      </c>
      <c r="Q371" t="str">
        <f>IF(Table1[[#This Row],[RM]]&lt;=5.5,"Small",IF(Table1[[#This Row],[RM]]&lt;=6.5,"Medium","Large"))</f>
        <v>Large</v>
      </c>
    </row>
    <row r="372" spans="1:17" x14ac:dyDescent="0.3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  <c r="O372" t="str">
        <f>IF(Table1[[#This Row],[MEDV]]&lt;=15,"Low",IF(Table1[[#This Row],[MEDV]]&lt;=25,"Mid","High"))</f>
        <v>High</v>
      </c>
      <c r="P372" t="str">
        <f>IF(Table1[[#This Row],[CRIM]]&lt;=1,"Low",IF(Table1[[#This Row],[CRIM]]&lt;=10,"Medium","High"))</f>
        <v>Medium</v>
      </c>
      <c r="Q372" t="str">
        <f>IF(Table1[[#This Row],[RM]]&lt;=5.5,"Small",IF(Table1[[#This Row],[RM]]&lt;=6.5,"Medium","Large"))</f>
        <v>Large</v>
      </c>
    </row>
    <row r="373" spans="1:17" x14ac:dyDescent="0.3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  <c r="O373" t="str">
        <f>IF(Table1[[#This Row],[MEDV]]&lt;=15,"Low",IF(Table1[[#This Row],[MEDV]]&lt;=25,"Mid","High"))</f>
        <v>High</v>
      </c>
      <c r="P373" t="str">
        <f>IF(Table1[[#This Row],[CRIM]]&lt;=1,"Low",IF(Table1[[#This Row],[CRIM]]&lt;=10,"Medium","High"))</f>
        <v>Medium</v>
      </c>
      <c r="Q373" t="str">
        <f>IF(Table1[[#This Row],[RM]]&lt;=5.5,"Small",IF(Table1[[#This Row],[RM]]&lt;=6.5,"Medium","Large"))</f>
        <v>Medium</v>
      </c>
    </row>
    <row r="374" spans="1:17" x14ac:dyDescent="0.3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  <c r="O374" t="str">
        <f>IF(Table1[[#This Row],[MEDV]]&lt;=15,"Low",IF(Table1[[#This Row],[MEDV]]&lt;=25,"Mid","High"))</f>
        <v>High</v>
      </c>
      <c r="P374" t="str">
        <f>IF(Table1[[#This Row],[CRIM]]&lt;=1,"Low",IF(Table1[[#This Row],[CRIM]]&lt;=10,"Medium","High"))</f>
        <v>Medium</v>
      </c>
      <c r="Q374" t="str">
        <f>IF(Table1[[#This Row],[RM]]&lt;=5.5,"Small",IF(Table1[[#This Row],[RM]]&lt;=6.5,"Medium","Large"))</f>
        <v>Medium</v>
      </c>
    </row>
    <row r="375" spans="1:17" x14ac:dyDescent="0.3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  <c r="O375" t="str">
        <f>IF(Table1[[#This Row],[MEDV]]&lt;=15,"Low",IF(Table1[[#This Row],[MEDV]]&lt;=25,"Mid","High"))</f>
        <v>Low</v>
      </c>
      <c r="P375" t="str">
        <f>IF(Table1[[#This Row],[CRIM]]&lt;=1,"Low",IF(Table1[[#This Row],[CRIM]]&lt;=10,"Medium","High"))</f>
        <v>High</v>
      </c>
      <c r="Q375" t="str">
        <f>IF(Table1[[#This Row],[RM]]&lt;=5.5,"Small",IF(Table1[[#This Row],[RM]]&lt;=6.5,"Medium","Large"))</f>
        <v>Small</v>
      </c>
    </row>
    <row r="376" spans="1:17" x14ac:dyDescent="0.3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  <c r="O376" t="str">
        <f>IF(Table1[[#This Row],[MEDV]]&lt;=15,"Low",IF(Table1[[#This Row],[MEDV]]&lt;=25,"Mid","High"))</f>
        <v>Low</v>
      </c>
      <c r="P376" t="str">
        <f>IF(Table1[[#This Row],[CRIM]]&lt;=1,"Low",IF(Table1[[#This Row],[CRIM]]&lt;=10,"Medium","High"))</f>
        <v>High</v>
      </c>
      <c r="Q376" t="str">
        <f>IF(Table1[[#This Row],[RM]]&lt;=5.5,"Small",IF(Table1[[#This Row],[RM]]&lt;=6.5,"Medium","Large"))</f>
        <v>Small</v>
      </c>
    </row>
    <row r="377" spans="1:17" x14ac:dyDescent="0.3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  <c r="O377" t="str">
        <f>IF(Table1[[#This Row],[MEDV]]&lt;=15,"Low",IF(Table1[[#This Row],[MEDV]]&lt;=25,"Mid","High"))</f>
        <v>Low</v>
      </c>
      <c r="P377" t="str">
        <f>IF(Table1[[#This Row],[CRIM]]&lt;=1,"Low",IF(Table1[[#This Row],[CRIM]]&lt;=10,"Medium","High"))</f>
        <v>High</v>
      </c>
      <c r="Q377" t="str">
        <f>IF(Table1[[#This Row],[RM]]&lt;=5.5,"Small",IF(Table1[[#This Row],[RM]]&lt;=6.5,"Medium","Large"))</f>
        <v>Large</v>
      </c>
    </row>
    <row r="378" spans="1:17" x14ac:dyDescent="0.3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  <c r="O378" t="str">
        <f>IF(Table1[[#This Row],[MEDV]]&lt;=15,"Low",IF(Table1[[#This Row],[MEDV]]&lt;=25,"Mid","High"))</f>
        <v>Low</v>
      </c>
      <c r="P378" t="str">
        <f>IF(Table1[[#This Row],[CRIM]]&lt;=1,"Low",IF(Table1[[#This Row],[CRIM]]&lt;=10,"Medium","High"))</f>
        <v>High</v>
      </c>
      <c r="Q378" t="str">
        <f>IF(Table1[[#This Row],[RM]]&lt;=5.5,"Small",IF(Table1[[#This Row],[RM]]&lt;=6.5,"Medium","Large"))</f>
        <v>Large</v>
      </c>
    </row>
    <row r="379" spans="1:17" x14ac:dyDescent="0.3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  <c r="O379" t="str">
        <f>IF(Table1[[#This Row],[MEDV]]&lt;=15,"Low",IF(Table1[[#This Row],[MEDV]]&lt;=25,"Mid","High"))</f>
        <v>Low</v>
      </c>
      <c r="P379" t="str">
        <f>IF(Table1[[#This Row],[CRIM]]&lt;=1,"Low",IF(Table1[[#This Row],[CRIM]]&lt;=10,"Medium","High"))</f>
        <v>Medium</v>
      </c>
      <c r="Q379" t="str">
        <f>IF(Table1[[#This Row],[RM]]&lt;=5.5,"Small",IF(Table1[[#This Row],[RM]]&lt;=6.5,"Medium","Large"))</f>
        <v>Large</v>
      </c>
    </row>
    <row r="380" spans="1:17" x14ac:dyDescent="0.3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  <c r="O380" t="str">
        <f>IF(Table1[[#This Row],[MEDV]]&lt;=15,"Low",IF(Table1[[#This Row],[MEDV]]&lt;=25,"Mid","High"))</f>
        <v>Low</v>
      </c>
      <c r="P380" t="str">
        <f>IF(Table1[[#This Row],[CRIM]]&lt;=1,"Low",IF(Table1[[#This Row],[CRIM]]&lt;=10,"Medium","High"))</f>
        <v>High</v>
      </c>
      <c r="Q380" t="str">
        <f>IF(Table1[[#This Row],[RM]]&lt;=5.5,"Small",IF(Table1[[#This Row],[RM]]&lt;=6.5,"Medium","Large"))</f>
        <v>Medium</v>
      </c>
    </row>
    <row r="381" spans="1:17" x14ac:dyDescent="0.3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  <c r="O381" t="str">
        <f>IF(Table1[[#This Row],[MEDV]]&lt;=15,"Low",IF(Table1[[#This Row],[MEDV]]&lt;=25,"Mid","High"))</f>
        <v>Low</v>
      </c>
      <c r="P381" t="str">
        <f>IF(Table1[[#This Row],[CRIM]]&lt;=1,"Low",IF(Table1[[#This Row],[CRIM]]&lt;=10,"Medium","High"))</f>
        <v>High</v>
      </c>
      <c r="Q381" t="str">
        <f>IF(Table1[[#This Row],[RM]]&lt;=5.5,"Small",IF(Table1[[#This Row],[RM]]&lt;=6.5,"Medium","Large"))</f>
        <v>Medium</v>
      </c>
    </row>
    <row r="382" spans="1:17" x14ac:dyDescent="0.3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  <c r="O382" t="str">
        <f>IF(Table1[[#This Row],[MEDV]]&lt;=15,"Low",IF(Table1[[#This Row],[MEDV]]&lt;=25,"Mid","High"))</f>
        <v>Low</v>
      </c>
      <c r="P382" t="str">
        <f>IF(Table1[[#This Row],[CRIM]]&lt;=1,"Low",IF(Table1[[#This Row],[CRIM]]&lt;=10,"Medium","High"))</f>
        <v>High</v>
      </c>
      <c r="Q382" t="str">
        <f>IF(Table1[[#This Row],[RM]]&lt;=5.5,"Small",IF(Table1[[#This Row],[RM]]&lt;=6.5,"Medium","Large"))</f>
        <v>Large</v>
      </c>
    </row>
    <row r="383" spans="1:17" x14ac:dyDescent="0.3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  <c r="O383" t="str">
        <f>IF(Table1[[#This Row],[MEDV]]&lt;=15,"Low",IF(Table1[[#This Row],[MEDV]]&lt;=25,"Mid","High"))</f>
        <v>Low</v>
      </c>
      <c r="P383" t="str">
        <f>IF(Table1[[#This Row],[CRIM]]&lt;=1,"Low",IF(Table1[[#This Row],[CRIM]]&lt;=10,"Medium","High"))</f>
        <v>High</v>
      </c>
      <c r="Q383" t="str">
        <f>IF(Table1[[#This Row],[RM]]&lt;=5.5,"Small",IF(Table1[[#This Row],[RM]]&lt;=6.5,"Medium","Large"))</f>
        <v>Large</v>
      </c>
    </row>
    <row r="384" spans="1:17" x14ac:dyDescent="0.3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  <c r="O384" t="str">
        <f>IF(Table1[[#This Row],[MEDV]]&lt;=15,"Low",IF(Table1[[#This Row],[MEDV]]&lt;=25,"Mid","High"))</f>
        <v>Low</v>
      </c>
      <c r="P384" t="str">
        <f>IF(Table1[[#This Row],[CRIM]]&lt;=1,"Low",IF(Table1[[#This Row],[CRIM]]&lt;=10,"Medium","High"))</f>
        <v>Medium</v>
      </c>
      <c r="Q384" t="str">
        <f>IF(Table1[[#This Row],[RM]]&lt;=5.5,"Small",IF(Table1[[#This Row],[RM]]&lt;=6.5,"Medium","Large"))</f>
        <v>Medium</v>
      </c>
    </row>
    <row r="385" spans="1:17" x14ac:dyDescent="0.3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  <c r="O385" t="str">
        <f>IF(Table1[[#This Row],[MEDV]]&lt;=15,"Low",IF(Table1[[#This Row],[MEDV]]&lt;=25,"Mid","High"))</f>
        <v>Low</v>
      </c>
      <c r="P385" t="str">
        <f>IF(Table1[[#This Row],[CRIM]]&lt;=1,"Low",IF(Table1[[#This Row],[CRIM]]&lt;=10,"Medium","High"))</f>
        <v>Medium</v>
      </c>
      <c r="Q385" t="str">
        <f>IF(Table1[[#This Row],[RM]]&lt;=5.5,"Small",IF(Table1[[#This Row],[RM]]&lt;=6.5,"Medium","Large"))</f>
        <v>Medium</v>
      </c>
    </row>
    <row r="386" spans="1:17" x14ac:dyDescent="0.3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  <c r="O386" t="str">
        <f>IF(Table1[[#This Row],[MEDV]]&lt;=15,"Low",IF(Table1[[#This Row],[MEDV]]&lt;=25,"Mid","High"))</f>
        <v>Low</v>
      </c>
      <c r="P386" t="str">
        <f>IF(Table1[[#This Row],[CRIM]]&lt;=1,"Low",IF(Table1[[#This Row],[CRIM]]&lt;=10,"Medium","High"))</f>
        <v>High</v>
      </c>
      <c r="Q386" t="str">
        <f>IF(Table1[[#This Row],[RM]]&lt;=5.5,"Small",IF(Table1[[#This Row],[RM]]&lt;=6.5,"Medium","Large"))</f>
        <v>Small</v>
      </c>
    </row>
    <row r="387" spans="1:17" x14ac:dyDescent="0.3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  <c r="O387" t="str">
        <f>IF(Table1[[#This Row],[MEDV]]&lt;=15,"Low",IF(Table1[[#This Row],[MEDV]]&lt;=25,"Mid","High"))</f>
        <v>Low</v>
      </c>
      <c r="P387" t="str">
        <f>IF(Table1[[#This Row],[CRIM]]&lt;=1,"Low",IF(Table1[[#This Row],[CRIM]]&lt;=10,"Medium","High"))</f>
        <v>High</v>
      </c>
      <c r="Q387" t="str">
        <f>IF(Table1[[#This Row],[RM]]&lt;=5.5,"Small",IF(Table1[[#This Row],[RM]]&lt;=6.5,"Medium","Large"))</f>
        <v>Small</v>
      </c>
    </row>
    <row r="388" spans="1:17" x14ac:dyDescent="0.3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  <c r="O388" t="str">
        <f>IF(Table1[[#This Row],[MEDV]]&lt;=15,"Low",IF(Table1[[#This Row],[MEDV]]&lt;=25,"Mid","High"))</f>
        <v>Low</v>
      </c>
      <c r="P388" t="str">
        <f>IF(Table1[[#This Row],[CRIM]]&lt;=1,"Low",IF(Table1[[#This Row],[CRIM]]&lt;=10,"Medium","High"))</f>
        <v>High</v>
      </c>
      <c r="Q388" t="str">
        <f>IF(Table1[[#This Row],[RM]]&lt;=5.5,"Small",IF(Table1[[#This Row],[RM]]&lt;=6.5,"Medium","Large"))</f>
        <v>Small</v>
      </c>
    </row>
    <row r="389" spans="1:17" x14ac:dyDescent="0.3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  <c r="O389" t="str">
        <f>IF(Table1[[#This Row],[MEDV]]&lt;=15,"Low",IF(Table1[[#This Row],[MEDV]]&lt;=25,"Mid","High"))</f>
        <v>Low</v>
      </c>
      <c r="P389" t="str">
        <f>IF(Table1[[#This Row],[CRIM]]&lt;=1,"Low",IF(Table1[[#This Row],[CRIM]]&lt;=10,"Medium","High"))</f>
        <v>High</v>
      </c>
      <c r="Q389" t="str">
        <f>IF(Table1[[#This Row],[RM]]&lt;=5.5,"Small",IF(Table1[[#This Row],[RM]]&lt;=6.5,"Medium","Large"))</f>
        <v>Small</v>
      </c>
    </row>
    <row r="390" spans="1:17" x14ac:dyDescent="0.3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  <c r="O390" t="str">
        <f>IF(Table1[[#This Row],[MEDV]]&lt;=15,"Low",IF(Table1[[#This Row],[MEDV]]&lt;=25,"Mid","High"))</f>
        <v>Low</v>
      </c>
      <c r="P390" t="str">
        <f>IF(Table1[[#This Row],[CRIM]]&lt;=1,"Low",IF(Table1[[#This Row],[CRIM]]&lt;=10,"Medium","High"))</f>
        <v>High</v>
      </c>
      <c r="Q390" t="str">
        <f>IF(Table1[[#This Row],[RM]]&lt;=5.5,"Small",IF(Table1[[#This Row],[RM]]&lt;=6.5,"Medium","Large"))</f>
        <v>Small</v>
      </c>
    </row>
    <row r="391" spans="1:17" x14ac:dyDescent="0.3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  <c r="O391" t="str">
        <f>IF(Table1[[#This Row],[MEDV]]&lt;=15,"Low",IF(Table1[[#This Row],[MEDV]]&lt;=25,"Mid","High"))</f>
        <v>Low</v>
      </c>
      <c r="P391" t="str">
        <f>IF(Table1[[#This Row],[CRIM]]&lt;=1,"Low",IF(Table1[[#This Row],[CRIM]]&lt;=10,"Medium","High"))</f>
        <v>Medium</v>
      </c>
      <c r="Q391" t="str">
        <f>IF(Table1[[#This Row],[RM]]&lt;=5.5,"Small",IF(Table1[[#This Row],[RM]]&lt;=6.5,"Medium","Large"))</f>
        <v>Small</v>
      </c>
    </row>
    <row r="392" spans="1:17" x14ac:dyDescent="0.3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  <c r="O392" t="str">
        <f>IF(Table1[[#This Row],[MEDV]]&lt;=15,"Low",IF(Table1[[#This Row],[MEDV]]&lt;=25,"Mid","High"))</f>
        <v>Mid</v>
      </c>
      <c r="P392" t="str">
        <f>IF(Table1[[#This Row],[CRIM]]&lt;=1,"Low",IF(Table1[[#This Row],[CRIM]]&lt;=10,"Medium","High"))</f>
        <v>Medium</v>
      </c>
      <c r="Q392" t="str">
        <f>IF(Table1[[#This Row],[RM]]&lt;=5.5,"Small",IF(Table1[[#This Row],[RM]]&lt;=6.5,"Medium","Large"))</f>
        <v>Medium</v>
      </c>
    </row>
    <row r="393" spans="1:17" x14ac:dyDescent="0.3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  <c r="O393" t="str">
        <f>IF(Table1[[#This Row],[MEDV]]&lt;=15,"Low",IF(Table1[[#This Row],[MEDV]]&lt;=25,"Mid","High"))</f>
        <v>Mid</v>
      </c>
      <c r="P393" t="str">
        <f>IF(Table1[[#This Row],[CRIM]]&lt;=1,"Low",IF(Table1[[#This Row],[CRIM]]&lt;=10,"Medium","High"))</f>
        <v>Medium</v>
      </c>
      <c r="Q393" t="str">
        <f>IF(Table1[[#This Row],[RM]]&lt;=5.5,"Small",IF(Table1[[#This Row],[RM]]&lt;=6.5,"Medium","Large"))</f>
        <v>Medium</v>
      </c>
    </row>
    <row r="394" spans="1:17" x14ac:dyDescent="0.3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  <c r="O394" t="str">
        <f>IF(Table1[[#This Row],[MEDV]]&lt;=15,"Low",IF(Table1[[#This Row],[MEDV]]&lt;=25,"Mid","High"))</f>
        <v>Low</v>
      </c>
      <c r="P394" t="str">
        <f>IF(Table1[[#This Row],[CRIM]]&lt;=1,"Low",IF(Table1[[#This Row],[CRIM]]&lt;=10,"Medium","High"))</f>
        <v>High</v>
      </c>
      <c r="Q394" t="str">
        <f>IF(Table1[[#This Row],[RM]]&lt;=5.5,"Small",IF(Table1[[#This Row],[RM]]&lt;=6.5,"Medium","Large"))</f>
        <v>Small</v>
      </c>
    </row>
    <row r="395" spans="1:17" x14ac:dyDescent="0.3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  <c r="O395" t="str">
        <f>IF(Table1[[#This Row],[MEDV]]&lt;=15,"Low",IF(Table1[[#This Row],[MEDV]]&lt;=25,"Mid","High"))</f>
        <v>Low</v>
      </c>
      <c r="P395" t="str">
        <f>IF(Table1[[#This Row],[CRIM]]&lt;=1,"Low",IF(Table1[[#This Row],[CRIM]]&lt;=10,"Medium","High"))</f>
        <v>Medium</v>
      </c>
      <c r="Q395" t="str">
        <f>IF(Table1[[#This Row],[RM]]&lt;=5.5,"Small",IF(Table1[[#This Row],[RM]]&lt;=6.5,"Medium","Large"))</f>
        <v>Medium</v>
      </c>
    </row>
    <row r="396" spans="1:17" x14ac:dyDescent="0.3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  <c r="O396" t="str">
        <f>IF(Table1[[#This Row],[MEDV]]&lt;=15,"Low",IF(Table1[[#This Row],[MEDV]]&lt;=25,"Mid","High"))</f>
        <v>Low</v>
      </c>
      <c r="P396" t="str">
        <f>IF(Table1[[#This Row],[CRIM]]&lt;=1,"Low",IF(Table1[[#This Row],[CRIM]]&lt;=10,"Medium","High"))</f>
        <v>High</v>
      </c>
      <c r="Q396" t="str">
        <f>IF(Table1[[#This Row],[RM]]&lt;=5.5,"Small",IF(Table1[[#This Row],[RM]]&lt;=6.5,"Medium","Large"))</f>
        <v>Medium</v>
      </c>
    </row>
    <row r="397" spans="1:17" x14ac:dyDescent="0.3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  <c r="O397" t="str">
        <f>IF(Table1[[#This Row],[MEDV]]&lt;=15,"Low",IF(Table1[[#This Row],[MEDV]]&lt;=25,"Mid","High"))</f>
        <v>Low</v>
      </c>
      <c r="P397" t="str">
        <f>IF(Table1[[#This Row],[CRIM]]&lt;=1,"Low",IF(Table1[[#This Row],[CRIM]]&lt;=10,"Medium","High"))</f>
        <v>Medium</v>
      </c>
      <c r="Q397" t="str">
        <f>IF(Table1[[#This Row],[RM]]&lt;=5.5,"Small",IF(Table1[[#This Row],[RM]]&lt;=6.5,"Medium","Large"))</f>
        <v>Medium</v>
      </c>
    </row>
    <row r="398" spans="1:17" x14ac:dyDescent="0.3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  <c r="O398" t="str">
        <f>IF(Table1[[#This Row],[MEDV]]&lt;=15,"Low",IF(Table1[[#This Row],[MEDV]]&lt;=25,"Mid","High"))</f>
        <v>Low</v>
      </c>
      <c r="P398" t="str">
        <f>IF(Table1[[#This Row],[CRIM]]&lt;=1,"Low",IF(Table1[[#This Row],[CRIM]]&lt;=10,"Medium","High"))</f>
        <v>Medium</v>
      </c>
      <c r="Q398" t="str">
        <f>IF(Table1[[#This Row],[RM]]&lt;=5.5,"Small",IF(Table1[[#This Row],[RM]]&lt;=6.5,"Medium","Large"))</f>
        <v>Medium</v>
      </c>
    </row>
    <row r="399" spans="1:17" x14ac:dyDescent="0.3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  <c r="O399" t="str">
        <f>IF(Table1[[#This Row],[MEDV]]&lt;=15,"Low",IF(Table1[[#This Row],[MEDV]]&lt;=25,"Mid","High"))</f>
        <v>Low</v>
      </c>
      <c r="P399" t="str">
        <f>IF(Table1[[#This Row],[CRIM]]&lt;=1,"Low",IF(Table1[[#This Row],[CRIM]]&lt;=10,"Medium","High"))</f>
        <v>Medium</v>
      </c>
      <c r="Q399" t="str">
        <f>IF(Table1[[#This Row],[RM]]&lt;=5.5,"Small",IF(Table1[[#This Row],[RM]]&lt;=6.5,"Medium","Large"))</f>
        <v>Medium</v>
      </c>
    </row>
    <row r="400" spans="1:17" x14ac:dyDescent="0.3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  <c r="O400" t="str">
        <f>IF(Table1[[#This Row],[MEDV]]&lt;=15,"Low",IF(Table1[[#This Row],[MEDV]]&lt;=25,"Mid","High"))</f>
        <v>Low</v>
      </c>
      <c r="P400" t="str">
        <f>IF(Table1[[#This Row],[CRIM]]&lt;=1,"Low",IF(Table1[[#This Row],[CRIM]]&lt;=10,"Medium","High"))</f>
        <v>High</v>
      </c>
      <c r="Q400" t="str">
        <f>IF(Table1[[#This Row],[RM]]&lt;=5.5,"Small",IF(Table1[[#This Row],[RM]]&lt;=6.5,"Medium","Large"))</f>
        <v>Small</v>
      </c>
    </row>
    <row r="401" spans="1:17" x14ac:dyDescent="0.3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  <c r="O401" t="str">
        <f>IF(Table1[[#This Row],[MEDV]]&lt;=15,"Low",IF(Table1[[#This Row],[MEDV]]&lt;=25,"Mid","High"))</f>
        <v>Low</v>
      </c>
      <c r="P401" t="str">
        <f>IF(Table1[[#This Row],[CRIM]]&lt;=1,"Low",IF(Table1[[#This Row],[CRIM]]&lt;=10,"Medium","High"))</f>
        <v>Medium</v>
      </c>
      <c r="Q401" t="str">
        <f>IF(Table1[[#This Row],[RM]]&lt;=5.5,"Small",IF(Table1[[#This Row],[RM]]&lt;=6.5,"Medium","Large"))</f>
        <v>Medium</v>
      </c>
    </row>
    <row r="402" spans="1:17" x14ac:dyDescent="0.3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  <c r="O402" t="str">
        <f>IF(Table1[[#This Row],[MEDV]]&lt;=15,"Low",IF(Table1[[#This Row],[MEDV]]&lt;=25,"Mid","High"))</f>
        <v>Low</v>
      </c>
      <c r="P402" t="str">
        <f>IF(Table1[[#This Row],[CRIM]]&lt;=1,"Low",IF(Table1[[#This Row],[CRIM]]&lt;=10,"Medium","High"))</f>
        <v>High</v>
      </c>
      <c r="Q402" t="str">
        <f>IF(Table1[[#This Row],[RM]]&lt;=5.5,"Small",IF(Table1[[#This Row],[RM]]&lt;=6.5,"Medium","Large"))</f>
        <v>Medium</v>
      </c>
    </row>
    <row r="403" spans="1:17" x14ac:dyDescent="0.3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  <c r="O403" t="str">
        <f>IF(Table1[[#This Row],[MEDV]]&lt;=15,"Low",IF(Table1[[#This Row],[MEDV]]&lt;=25,"Mid","High"))</f>
        <v>Low</v>
      </c>
      <c r="P403" t="str">
        <f>IF(Table1[[#This Row],[CRIM]]&lt;=1,"Low",IF(Table1[[#This Row],[CRIM]]&lt;=10,"Medium","High"))</f>
        <v>High</v>
      </c>
      <c r="Q403" t="str">
        <f>IF(Table1[[#This Row],[RM]]&lt;=5.5,"Small",IF(Table1[[#This Row],[RM]]&lt;=6.5,"Medium","Large"))</f>
        <v>Medium</v>
      </c>
    </row>
    <row r="404" spans="1:17" x14ac:dyDescent="0.3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  <c r="O404" t="str">
        <f>IF(Table1[[#This Row],[MEDV]]&lt;=15,"Low",IF(Table1[[#This Row],[MEDV]]&lt;=25,"Mid","High"))</f>
        <v>Low</v>
      </c>
      <c r="P404" t="str">
        <f>IF(Table1[[#This Row],[CRIM]]&lt;=1,"Low",IF(Table1[[#This Row],[CRIM]]&lt;=10,"Medium","High"))</f>
        <v>Medium</v>
      </c>
      <c r="Q404" t="str">
        <f>IF(Table1[[#This Row],[RM]]&lt;=5.5,"Small",IF(Table1[[#This Row],[RM]]&lt;=6.5,"Medium","Large"))</f>
        <v>Medium</v>
      </c>
    </row>
    <row r="405" spans="1:17" x14ac:dyDescent="0.3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  <c r="O405" t="str">
        <f>IF(Table1[[#This Row],[MEDV]]&lt;=15,"Low",IF(Table1[[#This Row],[MEDV]]&lt;=25,"Mid","High"))</f>
        <v>Low</v>
      </c>
      <c r="P405" t="str">
        <f>IF(Table1[[#This Row],[CRIM]]&lt;=1,"Low",IF(Table1[[#This Row],[CRIM]]&lt;=10,"Medium","High"))</f>
        <v>High</v>
      </c>
      <c r="Q405" t="str">
        <f>IF(Table1[[#This Row],[RM]]&lt;=5.5,"Small",IF(Table1[[#This Row],[RM]]&lt;=6.5,"Medium","Large"))</f>
        <v>Small</v>
      </c>
    </row>
    <row r="406" spans="1:17" x14ac:dyDescent="0.3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  <c r="O406" t="str">
        <f>IF(Table1[[#This Row],[MEDV]]&lt;=15,"Low",IF(Table1[[#This Row],[MEDV]]&lt;=25,"Mid","High"))</f>
        <v>Low</v>
      </c>
      <c r="P406" t="str">
        <f>IF(Table1[[#This Row],[CRIM]]&lt;=1,"Low",IF(Table1[[#This Row],[CRIM]]&lt;=10,"Medium","High"))</f>
        <v>High</v>
      </c>
      <c r="Q406" t="str">
        <f>IF(Table1[[#This Row],[RM]]&lt;=5.5,"Small",IF(Table1[[#This Row],[RM]]&lt;=6.5,"Medium","Large"))</f>
        <v>Medium</v>
      </c>
    </row>
    <row r="407" spans="1:17" x14ac:dyDescent="0.3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  <c r="O407" t="str">
        <f>IF(Table1[[#This Row],[MEDV]]&lt;=15,"Low",IF(Table1[[#This Row],[MEDV]]&lt;=25,"Mid","High"))</f>
        <v>Low</v>
      </c>
      <c r="P407" t="str">
        <f>IF(Table1[[#This Row],[CRIM]]&lt;=1,"Low",IF(Table1[[#This Row],[CRIM]]&lt;=10,"Medium","High"))</f>
        <v>High</v>
      </c>
      <c r="Q407" t="str">
        <f>IF(Table1[[#This Row],[RM]]&lt;=5.5,"Small",IF(Table1[[#This Row],[RM]]&lt;=6.5,"Medium","Large"))</f>
        <v>Medium</v>
      </c>
    </row>
    <row r="408" spans="1:17" x14ac:dyDescent="0.3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  <c r="O408" t="str">
        <f>IF(Table1[[#This Row],[MEDV]]&lt;=15,"Low",IF(Table1[[#This Row],[MEDV]]&lt;=25,"Mid","High"))</f>
        <v>Low</v>
      </c>
      <c r="P408" t="str">
        <f>IF(Table1[[#This Row],[CRIM]]&lt;=1,"Low",IF(Table1[[#This Row],[CRIM]]&lt;=10,"Medium","High"))</f>
        <v>High</v>
      </c>
      <c r="Q408" t="str">
        <f>IF(Table1[[#This Row],[RM]]&lt;=5.5,"Small",IF(Table1[[#This Row],[RM]]&lt;=6.5,"Medium","Large"))</f>
        <v>Small</v>
      </c>
    </row>
    <row r="409" spans="1:17" x14ac:dyDescent="0.3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  <c r="O409" t="str">
        <f>IF(Table1[[#This Row],[MEDV]]&lt;=15,"Low",IF(Table1[[#This Row],[MEDV]]&lt;=25,"Mid","High"))</f>
        <v>High</v>
      </c>
      <c r="P409" t="str">
        <f>IF(Table1[[#This Row],[CRIM]]&lt;=1,"Low",IF(Table1[[#This Row],[CRIM]]&lt;=10,"Medium","High"))</f>
        <v>High</v>
      </c>
      <c r="Q409" t="str">
        <f>IF(Table1[[#This Row],[RM]]&lt;=5.5,"Small",IF(Table1[[#This Row],[RM]]&lt;=6.5,"Medium","Large"))</f>
        <v>Medium</v>
      </c>
    </row>
    <row r="410" spans="1:17" x14ac:dyDescent="0.3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  <c r="O410" t="str">
        <f>IF(Table1[[#This Row],[MEDV]]&lt;=15,"Low",IF(Table1[[#This Row],[MEDV]]&lt;=25,"Mid","High"))</f>
        <v>Mid</v>
      </c>
      <c r="P410" t="str">
        <f>IF(Table1[[#This Row],[CRIM]]&lt;=1,"Low",IF(Table1[[#This Row],[CRIM]]&lt;=10,"Medium","High"))</f>
        <v>Medium</v>
      </c>
      <c r="Q410" t="str">
        <f>IF(Table1[[#This Row],[RM]]&lt;=5.5,"Small",IF(Table1[[#This Row],[RM]]&lt;=6.5,"Medium","Large"))</f>
        <v>Medium</v>
      </c>
    </row>
    <row r="411" spans="1:17" x14ac:dyDescent="0.3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  <c r="O411" t="str">
        <f>IF(Table1[[#This Row],[MEDV]]&lt;=15,"Low",IF(Table1[[#This Row],[MEDV]]&lt;=25,"Mid","High"))</f>
        <v>High</v>
      </c>
      <c r="P411" t="str">
        <f>IF(Table1[[#This Row],[CRIM]]&lt;=1,"Low",IF(Table1[[#This Row],[CRIM]]&lt;=10,"Medium","High"))</f>
        <v>High</v>
      </c>
      <c r="Q411" t="str">
        <f>IF(Table1[[#This Row],[RM]]&lt;=5.5,"Small",IF(Table1[[#This Row],[RM]]&lt;=6.5,"Medium","Large"))</f>
        <v>Large</v>
      </c>
    </row>
    <row r="412" spans="1:17" x14ac:dyDescent="0.3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  <c r="O412" t="str">
        <f>IF(Table1[[#This Row],[MEDV]]&lt;=15,"Low",IF(Table1[[#This Row],[MEDV]]&lt;=25,"Mid","High"))</f>
        <v>Low</v>
      </c>
      <c r="P412" t="str">
        <f>IF(Table1[[#This Row],[CRIM]]&lt;=1,"Low",IF(Table1[[#This Row],[CRIM]]&lt;=10,"Medium","High"))</f>
        <v>High</v>
      </c>
      <c r="Q412" t="str">
        <f>IF(Table1[[#This Row],[RM]]&lt;=5.5,"Small",IF(Table1[[#This Row],[RM]]&lt;=6.5,"Medium","Large"))</f>
        <v>Medium</v>
      </c>
    </row>
    <row r="413" spans="1:17" x14ac:dyDescent="0.3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  <c r="O413" t="str">
        <f>IF(Table1[[#This Row],[MEDV]]&lt;=15,"Low",IF(Table1[[#This Row],[MEDV]]&lt;=25,"Mid","High"))</f>
        <v>Mid</v>
      </c>
      <c r="P413" t="str">
        <f>IF(Table1[[#This Row],[CRIM]]&lt;=1,"Low",IF(Table1[[#This Row],[CRIM]]&lt;=10,"Medium","High"))</f>
        <v>High</v>
      </c>
      <c r="Q413" t="str">
        <f>IF(Table1[[#This Row],[RM]]&lt;=5.5,"Small",IF(Table1[[#This Row],[RM]]&lt;=6.5,"Medium","Large"))</f>
        <v>Large</v>
      </c>
    </row>
    <row r="414" spans="1:17" x14ac:dyDescent="0.3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  <c r="O414" t="str">
        <f>IF(Table1[[#This Row],[MEDV]]&lt;=15,"Low",IF(Table1[[#This Row],[MEDV]]&lt;=25,"Mid","High"))</f>
        <v>Mid</v>
      </c>
      <c r="P414" t="str">
        <f>IF(Table1[[#This Row],[CRIM]]&lt;=1,"Low",IF(Table1[[#This Row],[CRIM]]&lt;=10,"Medium","High"))</f>
        <v>High</v>
      </c>
      <c r="Q414" t="str">
        <f>IF(Table1[[#This Row],[RM]]&lt;=5.5,"Small",IF(Table1[[#This Row],[RM]]&lt;=6.5,"Medium","Large"))</f>
        <v>Small</v>
      </c>
    </row>
    <row r="415" spans="1:17" x14ac:dyDescent="0.3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  <c r="O415" t="str">
        <f>IF(Table1[[#This Row],[MEDV]]&lt;=15,"Low",IF(Table1[[#This Row],[MEDV]]&lt;=25,"Mid","High"))</f>
        <v>Mid</v>
      </c>
      <c r="P415" t="str">
        <f>IF(Table1[[#This Row],[CRIM]]&lt;=1,"Low",IF(Table1[[#This Row],[CRIM]]&lt;=10,"Medium","High"))</f>
        <v>High</v>
      </c>
      <c r="Q415" t="str">
        <f>IF(Table1[[#This Row],[RM]]&lt;=5.5,"Small",IF(Table1[[#This Row],[RM]]&lt;=6.5,"Medium","Large"))</f>
        <v>Small</v>
      </c>
    </row>
    <row r="416" spans="1:17" x14ac:dyDescent="0.3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  <c r="O416" t="str">
        <f>IF(Table1[[#This Row],[MEDV]]&lt;=15,"Low",IF(Table1[[#This Row],[MEDV]]&lt;=25,"Mid","High"))</f>
        <v>Low</v>
      </c>
      <c r="P416" t="str">
        <f>IF(Table1[[#This Row],[CRIM]]&lt;=1,"Low",IF(Table1[[#This Row],[CRIM]]&lt;=10,"Medium","High"))</f>
        <v>High</v>
      </c>
      <c r="Q416" t="str">
        <f>IF(Table1[[#This Row],[RM]]&lt;=5.5,"Small",IF(Table1[[#This Row],[RM]]&lt;=6.5,"Medium","Large"))</f>
        <v>Small</v>
      </c>
    </row>
    <row r="417" spans="1:17" x14ac:dyDescent="0.3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  <c r="O417" t="str">
        <f>IF(Table1[[#This Row],[MEDV]]&lt;=15,"Low",IF(Table1[[#This Row],[MEDV]]&lt;=25,"Mid","High"))</f>
        <v>Low</v>
      </c>
      <c r="P417" t="str">
        <f>IF(Table1[[#This Row],[CRIM]]&lt;=1,"Low",IF(Table1[[#This Row],[CRIM]]&lt;=10,"Medium","High"))</f>
        <v>High</v>
      </c>
      <c r="Q417" t="str">
        <f>IF(Table1[[#This Row],[RM]]&lt;=5.5,"Small",IF(Table1[[#This Row],[RM]]&lt;=6.5,"Medium","Large"))</f>
        <v>Medium</v>
      </c>
    </row>
    <row r="418" spans="1:17" x14ac:dyDescent="0.3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  <c r="O418" t="str">
        <f>IF(Table1[[#This Row],[MEDV]]&lt;=15,"Low",IF(Table1[[#This Row],[MEDV]]&lt;=25,"Mid","High"))</f>
        <v>Low</v>
      </c>
      <c r="P418" t="str">
        <f>IF(Table1[[#This Row],[CRIM]]&lt;=1,"Low",IF(Table1[[#This Row],[CRIM]]&lt;=10,"Medium","High"))</f>
        <v>High</v>
      </c>
      <c r="Q418" t="str">
        <f>IF(Table1[[#This Row],[RM]]&lt;=5.5,"Small",IF(Table1[[#This Row],[RM]]&lt;=6.5,"Medium","Large"))</f>
        <v>Large</v>
      </c>
    </row>
    <row r="419" spans="1:17" x14ac:dyDescent="0.3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  <c r="O419" t="str">
        <f>IF(Table1[[#This Row],[MEDV]]&lt;=15,"Low",IF(Table1[[#This Row],[MEDV]]&lt;=25,"Mid","High"))</f>
        <v>Low</v>
      </c>
      <c r="P419" t="str">
        <f>IF(Table1[[#This Row],[CRIM]]&lt;=1,"Low",IF(Table1[[#This Row],[CRIM]]&lt;=10,"Medium","High"))</f>
        <v>High</v>
      </c>
      <c r="Q419" t="str">
        <f>IF(Table1[[#This Row],[RM]]&lt;=5.5,"Small",IF(Table1[[#This Row],[RM]]&lt;=6.5,"Medium","Large"))</f>
        <v>Small</v>
      </c>
    </row>
    <row r="420" spans="1:17" x14ac:dyDescent="0.3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  <c r="O420" t="str">
        <f>IF(Table1[[#This Row],[MEDV]]&lt;=15,"Low",IF(Table1[[#This Row],[MEDV]]&lt;=25,"Mid","High"))</f>
        <v>Low</v>
      </c>
      <c r="P420" t="str">
        <f>IF(Table1[[#This Row],[CRIM]]&lt;=1,"Low",IF(Table1[[#This Row],[CRIM]]&lt;=10,"Medium","High"))</f>
        <v>High</v>
      </c>
      <c r="Q420" t="str">
        <f>IF(Table1[[#This Row],[RM]]&lt;=5.5,"Small",IF(Table1[[#This Row],[RM]]&lt;=6.5,"Medium","Large"))</f>
        <v>Medium</v>
      </c>
    </row>
    <row r="421" spans="1:17" x14ac:dyDescent="0.3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  <c r="O421" t="str">
        <f>IF(Table1[[#This Row],[MEDV]]&lt;=15,"Low",IF(Table1[[#This Row],[MEDV]]&lt;=25,"Mid","High"))</f>
        <v>Low</v>
      </c>
      <c r="P421" t="str">
        <f>IF(Table1[[#This Row],[CRIM]]&lt;=1,"Low",IF(Table1[[#This Row],[CRIM]]&lt;=10,"Medium","High"))</f>
        <v>High</v>
      </c>
      <c r="Q421" t="str">
        <f>IF(Table1[[#This Row],[RM]]&lt;=5.5,"Small",IF(Table1[[#This Row],[RM]]&lt;=6.5,"Medium","Large"))</f>
        <v>Large</v>
      </c>
    </row>
    <row r="422" spans="1:17" x14ac:dyDescent="0.3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  <c r="O422" t="str">
        <f>IF(Table1[[#This Row],[MEDV]]&lt;=15,"Low",IF(Table1[[#This Row],[MEDV]]&lt;=25,"Mid","High"))</f>
        <v>Mid</v>
      </c>
      <c r="P422" t="str">
        <f>IF(Table1[[#This Row],[CRIM]]&lt;=1,"Low",IF(Table1[[#This Row],[CRIM]]&lt;=10,"Medium","High"))</f>
        <v>High</v>
      </c>
      <c r="Q422" t="str">
        <f>IF(Table1[[#This Row],[RM]]&lt;=5.5,"Small",IF(Table1[[#This Row],[RM]]&lt;=6.5,"Medium","Large"))</f>
        <v>Medium</v>
      </c>
    </row>
    <row r="423" spans="1:17" x14ac:dyDescent="0.3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  <c r="O423" t="str">
        <f>IF(Table1[[#This Row],[MEDV]]&lt;=15,"Low",IF(Table1[[#This Row],[MEDV]]&lt;=25,"Mid","High"))</f>
        <v>Low</v>
      </c>
      <c r="P423" t="str">
        <f>IF(Table1[[#This Row],[CRIM]]&lt;=1,"Low",IF(Table1[[#This Row],[CRIM]]&lt;=10,"Medium","High"))</f>
        <v>Medium</v>
      </c>
      <c r="Q423" t="str">
        <f>IF(Table1[[#This Row],[RM]]&lt;=5.5,"Small",IF(Table1[[#This Row],[RM]]&lt;=6.5,"Medium","Large"))</f>
        <v>Medium</v>
      </c>
    </row>
    <row r="424" spans="1:17" x14ac:dyDescent="0.3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  <c r="O424" t="str">
        <f>IF(Table1[[#This Row],[MEDV]]&lt;=15,"Low",IF(Table1[[#This Row],[MEDV]]&lt;=25,"Mid","High"))</f>
        <v>Mid</v>
      </c>
      <c r="P424" t="str">
        <f>IF(Table1[[#This Row],[CRIM]]&lt;=1,"Low",IF(Table1[[#This Row],[CRIM]]&lt;=10,"Medium","High"))</f>
        <v>High</v>
      </c>
      <c r="Q424" t="str">
        <f>IF(Table1[[#This Row],[RM]]&lt;=5.5,"Small",IF(Table1[[#This Row],[RM]]&lt;=6.5,"Medium","Large"))</f>
        <v>Medium</v>
      </c>
    </row>
    <row r="425" spans="1:17" x14ac:dyDescent="0.3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  <c r="O425" t="str">
        <f>IF(Table1[[#This Row],[MEDV]]&lt;=15,"Low",IF(Table1[[#This Row],[MEDV]]&lt;=25,"Mid","High"))</f>
        <v>Low</v>
      </c>
      <c r="P425" t="str">
        <f>IF(Table1[[#This Row],[CRIM]]&lt;=1,"Low",IF(Table1[[#This Row],[CRIM]]&lt;=10,"Medium","High"))</f>
        <v>Medium</v>
      </c>
      <c r="Q425" t="str">
        <f>IF(Table1[[#This Row],[RM]]&lt;=5.5,"Small",IF(Table1[[#This Row],[RM]]&lt;=6.5,"Medium","Large"))</f>
        <v>Medium</v>
      </c>
    </row>
    <row r="426" spans="1:17" x14ac:dyDescent="0.3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  <c r="O426" t="str">
        <f>IF(Table1[[#This Row],[MEDV]]&lt;=15,"Low",IF(Table1[[#This Row],[MEDV]]&lt;=25,"Mid","High"))</f>
        <v>Low</v>
      </c>
      <c r="P426" t="str">
        <f>IF(Table1[[#This Row],[CRIM]]&lt;=1,"Low",IF(Table1[[#This Row],[CRIM]]&lt;=10,"Medium","High"))</f>
        <v>Medium</v>
      </c>
      <c r="Q426" t="str">
        <f>IF(Table1[[#This Row],[RM]]&lt;=5.5,"Small",IF(Table1[[#This Row],[RM]]&lt;=6.5,"Medium","Large"))</f>
        <v>Medium</v>
      </c>
    </row>
    <row r="427" spans="1:17" x14ac:dyDescent="0.3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  <c r="O427" t="str">
        <f>IF(Table1[[#This Row],[MEDV]]&lt;=15,"Low",IF(Table1[[#This Row],[MEDV]]&lt;=25,"Mid","High"))</f>
        <v>Low</v>
      </c>
      <c r="P427" t="str">
        <f>IF(Table1[[#This Row],[CRIM]]&lt;=1,"Low",IF(Table1[[#This Row],[CRIM]]&lt;=10,"Medium","High"))</f>
        <v>High</v>
      </c>
      <c r="Q427" t="str">
        <f>IF(Table1[[#This Row],[RM]]&lt;=5.5,"Small",IF(Table1[[#This Row],[RM]]&lt;=6.5,"Medium","Large"))</f>
        <v>Medium</v>
      </c>
    </row>
    <row r="428" spans="1:17" x14ac:dyDescent="0.3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  <c r="O428" t="str">
        <f>IF(Table1[[#This Row],[MEDV]]&lt;=15,"Low",IF(Table1[[#This Row],[MEDV]]&lt;=25,"Mid","High"))</f>
        <v>Low</v>
      </c>
      <c r="P428" t="str">
        <f>IF(Table1[[#This Row],[CRIM]]&lt;=1,"Low",IF(Table1[[#This Row],[CRIM]]&lt;=10,"Medium","High"))</f>
        <v>High</v>
      </c>
      <c r="Q428" t="str">
        <f>IF(Table1[[#This Row],[RM]]&lt;=5.5,"Small",IF(Table1[[#This Row],[RM]]&lt;=6.5,"Medium","Large"))</f>
        <v>Medium</v>
      </c>
    </row>
    <row r="429" spans="1:17" x14ac:dyDescent="0.3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  <c r="O429" t="str">
        <f>IF(Table1[[#This Row],[MEDV]]&lt;=15,"Low",IF(Table1[[#This Row],[MEDV]]&lt;=25,"Mid","High"))</f>
        <v>Low</v>
      </c>
      <c r="P429" t="str">
        <f>IF(Table1[[#This Row],[CRIM]]&lt;=1,"Low",IF(Table1[[#This Row],[CRIM]]&lt;=10,"Medium","High"))</f>
        <v>High</v>
      </c>
      <c r="Q429" t="str">
        <f>IF(Table1[[#This Row],[RM]]&lt;=5.5,"Small",IF(Table1[[#This Row],[RM]]&lt;=6.5,"Medium","Large"))</f>
        <v>Medium</v>
      </c>
    </row>
    <row r="430" spans="1:17" x14ac:dyDescent="0.3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  <c r="O430" t="str">
        <f>IF(Table1[[#This Row],[MEDV]]&lt;=15,"Low",IF(Table1[[#This Row],[MEDV]]&lt;=25,"Mid","High"))</f>
        <v>Low</v>
      </c>
      <c r="P430" t="str">
        <f>IF(Table1[[#This Row],[CRIM]]&lt;=1,"Low",IF(Table1[[#This Row],[CRIM]]&lt;=10,"Medium","High"))</f>
        <v>Medium</v>
      </c>
      <c r="Q430" t="str">
        <f>IF(Table1[[#This Row],[RM]]&lt;=5.5,"Small",IF(Table1[[#This Row],[RM]]&lt;=6.5,"Medium","Large"))</f>
        <v>Medium</v>
      </c>
    </row>
    <row r="431" spans="1:17" x14ac:dyDescent="0.3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  <c r="O431" t="str">
        <f>IF(Table1[[#This Row],[MEDV]]&lt;=15,"Low",IF(Table1[[#This Row],[MEDV]]&lt;=25,"Mid","High"))</f>
        <v>Low</v>
      </c>
      <c r="P431" t="str">
        <f>IF(Table1[[#This Row],[CRIM]]&lt;=1,"Low",IF(Table1[[#This Row],[CRIM]]&lt;=10,"Medium","High"))</f>
        <v>Medium</v>
      </c>
      <c r="Q431" t="str">
        <f>IF(Table1[[#This Row],[RM]]&lt;=5.5,"Small",IF(Table1[[#This Row],[RM]]&lt;=6.5,"Medium","Large"))</f>
        <v>Medium</v>
      </c>
    </row>
    <row r="432" spans="1:17" x14ac:dyDescent="0.3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  <c r="O432" t="str">
        <f>IF(Table1[[#This Row],[MEDV]]&lt;=15,"Low",IF(Table1[[#This Row],[MEDV]]&lt;=25,"Mid","High"))</f>
        <v>Low</v>
      </c>
      <c r="P432" t="str">
        <f>IF(Table1[[#This Row],[CRIM]]&lt;=1,"Low",IF(Table1[[#This Row],[CRIM]]&lt;=10,"Medium","High"))</f>
        <v>Medium</v>
      </c>
      <c r="Q432" t="str">
        <f>IF(Table1[[#This Row],[RM]]&lt;=5.5,"Small",IF(Table1[[#This Row],[RM]]&lt;=6.5,"Medium","Large"))</f>
        <v>Medium</v>
      </c>
    </row>
    <row r="433" spans="1:17" x14ac:dyDescent="0.3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  <c r="O433" t="str">
        <f>IF(Table1[[#This Row],[MEDV]]&lt;=15,"Low",IF(Table1[[#This Row],[MEDV]]&lt;=25,"Mid","High"))</f>
        <v>Low</v>
      </c>
      <c r="P433" t="str">
        <f>IF(Table1[[#This Row],[CRIM]]&lt;=1,"Low",IF(Table1[[#This Row],[CRIM]]&lt;=10,"Medium","High"))</f>
        <v>High</v>
      </c>
      <c r="Q433" t="str">
        <f>IF(Table1[[#This Row],[RM]]&lt;=5.5,"Small",IF(Table1[[#This Row],[RM]]&lt;=6.5,"Medium","Large"))</f>
        <v>Large</v>
      </c>
    </row>
    <row r="434" spans="1:17" x14ac:dyDescent="0.3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  <c r="O434" t="str">
        <f>IF(Table1[[#This Row],[MEDV]]&lt;=15,"Low",IF(Table1[[#This Row],[MEDV]]&lt;=25,"Mid","High"))</f>
        <v>Mid</v>
      </c>
      <c r="P434" t="str">
        <f>IF(Table1[[#This Row],[CRIM]]&lt;=1,"Low",IF(Table1[[#This Row],[CRIM]]&lt;=10,"Medium","High"))</f>
        <v>Medium</v>
      </c>
      <c r="Q434" t="str">
        <f>IF(Table1[[#This Row],[RM]]&lt;=5.5,"Small",IF(Table1[[#This Row],[RM]]&lt;=6.5,"Medium","Large"))</f>
        <v>Medium</v>
      </c>
    </row>
    <row r="435" spans="1:17" x14ac:dyDescent="0.3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  <c r="O435" t="str">
        <f>IF(Table1[[#This Row],[MEDV]]&lt;=15,"Low",IF(Table1[[#This Row],[MEDV]]&lt;=25,"Mid","High"))</f>
        <v>Low</v>
      </c>
      <c r="P435" t="str">
        <f>IF(Table1[[#This Row],[CRIM]]&lt;=1,"Low",IF(Table1[[#This Row],[CRIM]]&lt;=10,"Medium","High"))</f>
        <v>Medium</v>
      </c>
      <c r="Q435" t="str">
        <f>IF(Table1[[#This Row],[RM]]&lt;=5.5,"Small",IF(Table1[[#This Row],[RM]]&lt;=6.5,"Medium","Large"))</f>
        <v>Medium</v>
      </c>
    </row>
    <row r="436" spans="1:17" x14ac:dyDescent="0.3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  <c r="O436" t="str">
        <f>IF(Table1[[#This Row],[MEDV]]&lt;=15,"Low",IF(Table1[[#This Row],[MEDV]]&lt;=25,"Mid","High"))</f>
        <v>Low</v>
      </c>
      <c r="P436" t="str">
        <f>IF(Table1[[#This Row],[CRIM]]&lt;=1,"Low",IF(Table1[[#This Row],[CRIM]]&lt;=10,"Medium","High"))</f>
        <v>High</v>
      </c>
      <c r="Q436" t="str">
        <f>IF(Table1[[#This Row],[RM]]&lt;=5.5,"Small",IF(Table1[[#This Row],[RM]]&lt;=6.5,"Medium","Large"))</f>
        <v>Medium</v>
      </c>
    </row>
    <row r="437" spans="1:17" x14ac:dyDescent="0.3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  <c r="O437" t="str">
        <f>IF(Table1[[#This Row],[MEDV]]&lt;=15,"Low",IF(Table1[[#This Row],[MEDV]]&lt;=25,"Mid","High"))</f>
        <v>Low</v>
      </c>
      <c r="P437" t="str">
        <f>IF(Table1[[#This Row],[CRIM]]&lt;=1,"Low",IF(Table1[[#This Row],[CRIM]]&lt;=10,"Medium","High"))</f>
        <v>High</v>
      </c>
      <c r="Q437" t="str">
        <f>IF(Table1[[#This Row],[RM]]&lt;=5.5,"Small",IF(Table1[[#This Row],[RM]]&lt;=6.5,"Medium","Large"))</f>
        <v>Large</v>
      </c>
    </row>
    <row r="438" spans="1:17" x14ac:dyDescent="0.3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  <c r="O438" t="str">
        <f>IF(Table1[[#This Row],[MEDV]]&lt;=15,"Low",IF(Table1[[#This Row],[MEDV]]&lt;=25,"Mid","High"))</f>
        <v>Low</v>
      </c>
      <c r="P438" t="str">
        <f>IF(Table1[[#This Row],[CRIM]]&lt;=1,"Low",IF(Table1[[#This Row],[CRIM]]&lt;=10,"Medium","High"))</f>
        <v>High</v>
      </c>
      <c r="Q438" t="str">
        <f>IF(Table1[[#This Row],[RM]]&lt;=5.5,"Small",IF(Table1[[#This Row],[RM]]&lt;=6.5,"Medium","Large"))</f>
        <v>Medium</v>
      </c>
    </row>
    <row r="439" spans="1:17" x14ac:dyDescent="0.3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  <c r="O439" t="str">
        <f>IF(Table1[[#This Row],[MEDV]]&lt;=15,"Low",IF(Table1[[#This Row],[MEDV]]&lt;=25,"Mid","High"))</f>
        <v>Low</v>
      </c>
      <c r="P439" t="str">
        <f>IF(Table1[[#This Row],[CRIM]]&lt;=1,"Low",IF(Table1[[#This Row],[CRIM]]&lt;=10,"Medium","High"))</f>
        <v>High</v>
      </c>
      <c r="Q439" t="str">
        <f>IF(Table1[[#This Row],[RM]]&lt;=5.5,"Small",IF(Table1[[#This Row],[RM]]&lt;=6.5,"Medium","Large"))</f>
        <v>Medium</v>
      </c>
    </row>
    <row r="440" spans="1:17" x14ac:dyDescent="0.3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  <c r="O440" t="str">
        <f>IF(Table1[[#This Row],[MEDV]]&lt;=15,"Low",IF(Table1[[#This Row],[MEDV]]&lt;=25,"Mid","High"))</f>
        <v>Low</v>
      </c>
      <c r="P440" t="str">
        <f>IF(Table1[[#This Row],[CRIM]]&lt;=1,"Low",IF(Table1[[#This Row],[CRIM]]&lt;=10,"Medium","High"))</f>
        <v>High</v>
      </c>
      <c r="Q440" t="str">
        <f>IF(Table1[[#This Row],[RM]]&lt;=5.5,"Small",IF(Table1[[#This Row],[RM]]&lt;=6.5,"Medium","Large"))</f>
        <v>Medium</v>
      </c>
    </row>
    <row r="441" spans="1:17" x14ac:dyDescent="0.3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  <c r="O441" t="str">
        <f>IF(Table1[[#This Row],[MEDV]]&lt;=15,"Low",IF(Table1[[#This Row],[MEDV]]&lt;=25,"Mid","High"))</f>
        <v>Low</v>
      </c>
      <c r="P441" t="str">
        <f>IF(Table1[[#This Row],[CRIM]]&lt;=1,"Low",IF(Table1[[#This Row],[CRIM]]&lt;=10,"Medium","High"))</f>
        <v>Medium</v>
      </c>
      <c r="Q441" t="str">
        <f>IF(Table1[[#This Row],[RM]]&lt;=5.5,"Small",IF(Table1[[#This Row],[RM]]&lt;=6.5,"Medium","Large"))</f>
        <v>Medium</v>
      </c>
    </row>
    <row r="442" spans="1:17" x14ac:dyDescent="0.3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  <c r="O442" t="str">
        <f>IF(Table1[[#This Row],[MEDV]]&lt;=15,"Low",IF(Table1[[#This Row],[MEDV]]&lt;=25,"Mid","High"))</f>
        <v>Low</v>
      </c>
      <c r="P442" t="str">
        <f>IF(Table1[[#This Row],[CRIM]]&lt;=1,"Low",IF(Table1[[#This Row],[CRIM]]&lt;=10,"Medium","High"))</f>
        <v>High</v>
      </c>
      <c r="Q442" t="str">
        <f>IF(Table1[[#This Row],[RM]]&lt;=5.5,"Small",IF(Table1[[#This Row],[RM]]&lt;=6.5,"Medium","Large"))</f>
        <v>Medium</v>
      </c>
    </row>
    <row r="443" spans="1:17" x14ac:dyDescent="0.3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  <c r="O443" t="str">
        <f>IF(Table1[[#This Row],[MEDV]]&lt;=15,"Low",IF(Table1[[#This Row],[MEDV]]&lt;=25,"Mid","High"))</f>
        <v>Mid</v>
      </c>
      <c r="P443" t="str">
        <f>IF(Table1[[#This Row],[CRIM]]&lt;=1,"Low",IF(Table1[[#This Row],[CRIM]]&lt;=10,"Medium","High"))</f>
        <v>Medium</v>
      </c>
      <c r="Q443" t="str">
        <f>IF(Table1[[#This Row],[RM]]&lt;=5.5,"Small",IF(Table1[[#This Row],[RM]]&lt;=6.5,"Medium","Large"))</f>
        <v>Medium</v>
      </c>
    </row>
    <row r="444" spans="1:17" x14ac:dyDescent="0.3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  <c r="O444" t="str">
        <f>IF(Table1[[#This Row],[MEDV]]&lt;=15,"Low",IF(Table1[[#This Row],[MEDV]]&lt;=25,"Mid","High"))</f>
        <v>Mid</v>
      </c>
      <c r="P444" t="str">
        <f>IF(Table1[[#This Row],[CRIM]]&lt;=1,"Low",IF(Table1[[#This Row],[CRIM]]&lt;=10,"Medium","High"))</f>
        <v>Medium</v>
      </c>
      <c r="Q444" t="str">
        <f>IF(Table1[[#This Row],[RM]]&lt;=5.5,"Small",IF(Table1[[#This Row],[RM]]&lt;=6.5,"Medium","Large"))</f>
        <v>Medium</v>
      </c>
    </row>
    <row r="445" spans="1:17" x14ac:dyDescent="0.3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  <c r="O445" t="str">
        <f>IF(Table1[[#This Row],[MEDV]]&lt;=15,"Low",IF(Table1[[#This Row],[MEDV]]&lt;=25,"Mid","High"))</f>
        <v>Mid</v>
      </c>
      <c r="P445" t="str">
        <f>IF(Table1[[#This Row],[CRIM]]&lt;=1,"Low",IF(Table1[[#This Row],[CRIM]]&lt;=10,"Medium","High"))</f>
        <v>Medium</v>
      </c>
      <c r="Q445" t="str">
        <f>IF(Table1[[#This Row],[RM]]&lt;=5.5,"Small",IF(Table1[[#This Row],[RM]]&lt;=6.5,"Medium","Large"))</f>
        <v>Medium</v>
      </c>
    </row>
    <row r="446" spans="1:17" x14ac:dyDescent="0.3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  <c r="O446" t="str">
        <f>IF(Table1[[#This Row],[MEDV]]&lt;=15,"Low",IF(Table1[[#This Row],[MEDV]]&lt;=25,"Mid","High"))</f>
        <v>Low</v>
      </c>
      <c r="P446" t="str">
        <f>IF(Table1[[#This Row],[CRIM]]&lt;=1,"Low",IF(Table1[[#This Row],[CRIM]]&lt;=10,"Medium","High"))</f>
        <v>High</v>
      </c>
      <c r="Q446" t="str">
        <f>IF(Table1[[#This Row],[RM]]&lt;=5.5,"Small",IF(Table1[[#This Row],[RM]]&lt;=6.5,"Medium","Large"))</f>
        <v>Medium</v>
      </c>
    </row>
    <row r="447" spans="1:17" x14ac:dyDescent="0.3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  <c r="O447" t="str">
        <f>IF(Table1[[#This Row],[MEDV]]&lt;=15,"Low",IF(Table1[[#This Row],[MEDV]]&lt;=25,"Mid","High"))</f>
        <v>Low</v>
      </c>
      <c r="P447" t="str">
        <f>IF(Table1[[#This Row],[CRIM]]&lt;=1,"Low",IF(Table1[[#This Row],[CRIM]]&lt;=10,"Medium","High"))</f>
        <v>High</v>
      </c>
      <c r="Q447" t="str">
        <f>IF(Table1[[#This Row],[RM]]&lt;=5.5,"Small",IF(Table1[[#This Row],[RM]]&lt;=6.5,"Medium","Large"))</f>
        <v>Medium</v>
      </c>
    </row>
    <row r="448" spans="1:17" x14ac:dyDescent="0.3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  <c r="O448" t="str">
        <f>IF(Table1[[#This Row],[MEDV]]&lt;=15,"Low",IF(Table1[[#This Row],[MEDV]]&lt;=25,"Mid","High"))</f>
        <v>Low</v>
      </c>
      <c r="P448" t="str">
        <f>IF(Table1[[#This Row],[CRIM]]&lt;=1,"Low",IF(Table1[[#This Row],[CRIM]]&lt;=10,"Medium","High"))</f>
        <v>Medium</v>
      </c>
      <c r="Q448" t="str">
        <f>IF(Table1[[#This Row],[RM]]&lt;=5.5,"Small",IF(Table1[[#This Row],[RM]]&lt;=6.5,"Medium","Large"))</f>
        <v>Medium</v>
      </c>
    </row>
    <row r="449" spans="1:17" x14ac:dyDescent="0.3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  <c r="O449" t="str">
        <f>IF(Table1[[#This Row],[MEDV]]&lt;=15,"Low",IF(Table1[[#This Row],[MEDV]]&lt;=25,"Mid","High"))</f>
        <v>Low</v>
      </c>
      <c r="P449" t="str">
        <f>IF(Table1[[#This Row],[CRIM]]&lt;=1,"Low",IF(Table1[[#This Row],[CRIM]]&lt;=10,"Medium","High"))</f>
        <v>Medium</v>
      </c>
      <c r="Q449" t="str">
        <f>IF(Table1[[#This Row],[RM]]&lt;=5.5,"Small",IF(Table1[[#This Row],[RM]]&lt;=6.5,"Medium","Large"))</f>
        <v>Medium</v>
      </c>
    </row>
    <row r="450" spans="1:17" x14ac:dyDescent="0.3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  <c r="O450" t="str">
        <f>IF(Table1[[#This Row],[MEDV]]&lt;=15,"Low",IF(Table1[[#This Row],[MEDV]]&lt;=25,"Mid","High"))</f>
        <v>Low</v>
      </c>
      <c r="P450" t="str">
        <f>IF(Table1[[#This Row],[CRIM]]&lt;=1,"Low",IF(Table1[[#This Row],[CRIM]]&lt;=10,"Medium","High"))</f>
        <v>Medium</v>
      </c>
      <c r="Q450" t="str">
        <f>IF(Table1[[#This Row],[RM]]&lt;=5.5,"Small",IF(Table1[[#This Row],[RM]]&lt;=6.5,"Medium","Large"))</f>
        <v>Medium</v>
      </c>
    </row>
    <row r="451" spans="1:17" x14ac:dyDescent="0.3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  <c r="O451" t="str">
        <f>IF(Table1[[#This Row],[MEDV]]&lt;=15,"Low",IF(Table1[[#This Row],[MEDV]]&lt;=25,"Mid","High"))</f>
        <v>Low</v>
      </c>
      <c r="P451" t="str">
        <f>IF(Table1[[#This Row],[CRIM]]&lt;=1,"Low",IF(Table1[[#This Row],[CRIM]]&lt;=10,"Medium","High"))</f>
        <v>Medium</v>
      </c>
      <c r="Q451" t="str">
        <f>IF(Table1[[#This Row],[RM]]&lt;=5.5,"Small",IF(Table1[[#This Row],[RM]]&lt;=6.5,"Medium","Large"))</f>
        <v>Medium</v>
      </c>
    </row>
    <row r="452" spans="1:17" x14ac:dyDescent="0.3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  <c r="O452" t="str">
        <f>IF(Table1[[#This Row],[MEDV]]&lt;=15,"Low",IF(Table1[[#This Row],[MEDV]]&lt;=25,"Mid","High"))</f>
        <v>Low</v>
      </c>
      <c r="P452" t="str">
        <f>IF(Table1[[#This Row],[CRIM]]&lt;=1,"Low",IF(Table1[[#This Row],[CRIM]]&lt;=10,"Medium","High"))</f>
        <v>Medium</v>
      </c>
      <c r="Q452" t="str">
        <f>IF(Table1[[#This Row],[RM]]&lt;=5.5,"Small",IF(Table1[[#This Row],[RM]]&lt;=6.5,"Medium","Large"))</f>
        <v>Large</v>
      </c>
    </row>
    <row r="453" spans="1:17" x14ac:dyDescent="0.3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  <c r="O453" t="str">
        <f>IF(Table1[[#This Row],[MEDV]]&lt;=15,"Low",IF(Table1[[#This Row],[MEDV]]&lt;=25,"Mid","High"))</f>
        <v>Mid</v>
      </c>
      <c r="P453" t="str">
        <f>IF(Table1[[#This Row],[CRIM]]&lt;=1,"Low",IF(Table1[[#This Row],[CRIM]]&lt;=10,"Medium","High"))</f>
        <v>Medium</v>
      </c>
      <c r="Q453" t="str">
        <f>IF(Table1[[#This Row],[RM]]&lt;=5.5,"Small",IF(Table1[[#This Row],[RM]]&lt;=6.5,"Medium","Large"))</f>
        <v>Large</v>
      </c>
    </row>
    <row r="454" spans="1:17" x14ac:dyDescent="0.3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  <c r="O454" t="str">
        <f>IF(Table1[[#This Row],[MEDV]]&lt;=15,"Low",IF(Table1[[#This Row],[MEDV]]&lt;=25,"Mid","High"))</f>
        <v>Mid</v>
      </c>
      <c r="P454" t="str">
        <f>IF(Table1[[#This Row],[CRIM]]&lt;=1,"Low",IF(Table1[[#This Row],[CRIM]]&lt;=10,"Medium","High"))</f>
        <v>Medium</v>
      </c>
      <c r="Q454" t="str">
        <f>IF(Table1[[#This Row],[RM]]&lt;=5.5,"Small",IF(Table1[[#This Row],[RM]]&lt;=6.5,"Medium","Large"))</f>
        <v>Medium</v>
      </c>
    </row>
    <row r="455" spans="1:17" x14ac:dyDescent="0.3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  <c r="O455" t="str">
        <f>IF(Table1[[#This Row],[MEDV]]&lt;=15,"Low",IF(Table1[[#This Row],[MEDV]]&lt;=25,"Mid","High"))</f>
        <v>Mid</v>
      </c>
      <c r="P455" t="str">
        <f>IF(Table1[[#This Row],[CRIM]]&lt;=1,"Low",IF(Table1[[#This Row],[CRIM]]&lt;=10,"Medium","High"))</f>
        <v>Medium</v>
      </c>
      <c r="Q455" t="str">
        <f>IF(Table1[[#This Row],[RM]]&lt;=5.5,"Small",IF(Table1[[#This Row],[RM]]&lt;=6.5,"Medium","Large"))</f>
        <v>Large</v>
      </c>
    </row>
    <row r="456" spans="1:17" x14ac:dyDescent="0.3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  <c r="O456" t="str">
        <f>IF(Table1[[#This Row],[MEDV]]&lt;=15,"Low",IF(Table1[[#This Row],[MEDV]]&lt;=25,"Mid","High"))</f>
        <v>Low</v>
      </c>
      <c r="P456" t="str">
        <f>IF(Table1[[#This Row],[CRIM]]&lt;=1,"Low",IF(Table1[[#This Row],[CRIM]]&lt;=10,"Medium","High"))</f>
        <v>Medium</v>
      </c>
      <c r="Q456" t="str">
        <f>IF(Table1[[#This Row],[RM]]&lt;=5.5,"Small",IF(Table1[[#This Row],[RM]]&lt;=6.5,"Medium","Large"))</f>
        <v>Large</v>
      </c>
    </row>
    <row r="457" spans="1:17" x14ac:dyDescent="0.3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  <c r="O457" t="str">
        <f>IF(Table1[[#This Row],[MEDV]]&lt;=15,"Low",IF(Table1[[#This Row],[MEDV]]&lt;=25,"Mid","High"))</f>
        <v>Low</v>
      </c>
      <c r="P457" t="str">
        <f>IF(Table1[[#This Row],[CRIM]]&lt;=1,"Low",IF(Table1[[#This Row],[CRIM]]&lt;=10,"Medium","High"))</f>
        <v>Medium</v>
      </c>
      <c r="Q457" t="str">
        <f>IF(Table1[[#This Row],[RM]]&lt;=5.5,"Small",IF(Table1[[#This Row],[RM]]&lt;=6.5,"Medium","Large"))</f>
        <v>Large</v>
      </c>
    </row>
    <row r="458" spans="1:17" x14ac:dyDescent="0.3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  <c r="O458" t="str">
        <f>IF(Table1[[#This Row],[MEDV]]&lt;=15,"Low",IF(Table1[[#This Row],[MEDV]]&lt;=25,"Mid","High"))</f>
        <v>Low</v>
      </c>
      <c r="P458" t="str">
        <f>IF(Table1[[#This Row],[CRIM]]&lt;=1,"Low",IF(Table1[[#This Row],[CRIM]]&lt;=10,"Medium","High"))</f>
        <v>Medium</v>
      </c>
      <c r="Q458" t="str">
        <f>IF(Table1[[#This Row],[RM]]&lt;=5.5,"Small",IF(Table1[[#This Row],[RM]]&lt;=6.5,"Medium","Large"))</f>
        <v>Medium</v>
      </c>
    </row>
    <row r="459" spans="1:17" x14ac:dyDescent="0.3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  <c r="O459" t="str">
        <f>IF(Table1[[#This Row],[MEDV]]&lt;=15,"Low",IF(Table1[[#This Row],[MEDV]]&lt;=25,"Mid","High"))</f>
        <v>Low</v>
      </c>
      <c r="P459" t="str">
        <f>IF(Table1[[#This Row],[CRIM]]&lt;=1,"Low",IF(Table1[[#This Row],[CRIM]]&lt;=10,"Medium","High"))</f>
        <v>Medium</v>
      </c>
      <c r="Q459" t="str">
        <f>IF(Table1[[#This Row],[RM]]&lt;=5.5,"Small",IF(Table1[[#This Row],[RM]]&lt;=6.5,"Medium","Large"))</f>
        <v>Medium</v>
      </c>
    </row>
    <row r="460" spans="1:17" x14ac:dyDescent="0.3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  <c r="O460" t="str">
        <f>IF(Table1[[#This Row],[MEDV]]&lt;=15,"Low",IF(Table1[[#This Row],[MEDV]]&lt;=25,"Mid","High"))</f>
        <v>Low</v>
      </c>
      <c r="P460" t="str">
        <f>IF(Table1[[#This Row],[CRIM]]&lt;=1,"Low",IF(Table1[[#This Row],[CRIM]]&lt;=10,"Medium","High"))</f>
        <v>Medium</v>
      </c>
      <c r="Q460" t="str">
        <f>IF(Table1[[#This Row],[RM]]&lt;=5.5,"Small",IF(Table1[[#This Row],[RM]]&lt;=6.5,"Medium","Large"))</f>
        <v>Medium</v>
      </c>
    </row>
    <row r="461" spans="1:17" x14ac:dyDescent="0.3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  <c r="O461" t="str">
        <f>IF(Table1[[#This Row],[MEDV]]&lt;=15,"Low",IF(Table1[[#This Row],[MEDV]]&lt;=25,"Mid","High"))</f>
        <v>Mid</v>
      </c>
      <c r="P461" t="str">
        <f>IF(Table1[[#This Row],[CRIM]]&lt;=1,"Low",IF(Table1[[#This Row],[CRIM]]&lt;=10,"Medium","High"))</f>
        <v>Medium</v>
      </c>
      <c r="Q461" t="str">
        <f>IF(Table1[[#This Row],[RM]]&lt;=5.5,"Small",IF(Table1[[#This Row],[RM]]&lt;=6.5,"Medium","Large"))</f>
        <v>Medium</v>
      </c>
    </row>
    <row r="462" spans="1:17" x14ac:dyDescent="0.3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  <c r="O462" t="str">
        <f>IF(Table1[[#This Row],[MEDV]]&lt;=15,"Low",IF(Table1[[#This Row],[MEDV]]&lt;=25,"Mid","High"))</f>
        <v>Mid</v>
      </c>
      <c r="P462" t="str">
        <f>IF(Table1[[#This Row],[CRIM]]&lt;=1,"Low",IF(Table1[[#This Row],[CRIM]]&lt;=10,"Medium","High"))</f>
        <v>Medium</v>
      </c>
      <c r="Q462" t="str">
        <f>IF(Table1[[#This Row],[RM]]&lt;=5.5,"Small",IF(Table1[[#This Row],[RM]]&lt;=6.5,"Medium","Large"))</f>
        <v>Large</v>
      </c>
    </row>
    <row r="463" spans="1:17" x14ac:dyDescent="0.3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  <c r="O463" t="str">
        <f>IF(Table1[[#This Row],[MEDV]]&lt;=15,"Low",IF(Table1[[#This Row],[MEDV]]&lt;=25,"Mid","High"))</f>
        <v>Mid</v>
      </c>
      <c r="P463" t="str">
        <f>IF(Table1[[#This Row],[CRIM]]&lt;=1,"Low",IF(Table1[[#This Row],[CRIM]]&lt;=10,"Medium","High"))</f>
        <v>Medium</v>
      </c>
      <c r="Q463" t="str">
        <f>IF(Table1[[#This Row],[RM]]&lt;=5.5,"Small",IF(Table1[[#This Row],[RM]]&lt;=6.5,"Medium","Large"))</f>
        <v>Medium</v>
      </c>
    </row>
    <row r="464" spans="1:17" x14ac:dyDescent="0.3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  <c r="O464" t="str">
        <f>IF(Table1[[#This Row],[MEDV]]&lt;=15,"Low",IF(Table1[[#This Row],[MEDV]]&lt;=25,"Mid","High"))</f>
        <v>Mid</v>
      </c>
      <c r="P464" t="str">
        <f>IF(Table1[[#This Row],[CRIM]]&lt;=1,"Low",IF(Table1[[#This Row],[CRIM]]&lt;=10,"Medium","High"))</f>
        <v>Medium</v>
      </c>
      <c r="Q464" t="str">
        <f>IF(Table1[[#This Row],[RM]]&lt;=5.5,"Small",IF(Table1[[#This Row],[RM]]&lt;=6.5,"Medium","Large"))</f>
        <v>Medium</v>
      </c>
    </row>
    <row r="465" spans="1:17" x14ac:dyDescent="0.3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  <c r="O465" t="str">
        <f>IF(Table1[[#This Row],[MEDV]]&lt;=15,"Low",IF(Table1[[#This Row],[MEDV]]&lt;=25,"Mid","High"))</f>
        <v>Mid</v>
      </c>
      <c r="P465" t="str">
        <f>IF(Table1[[#This Row],[CRIM]]&lt;=1,"Low",IF(Table1[[#This Row],[CRIM]]&lt;=10,"Medium","High"))</f>
        <v>Medium</v>
      </c>
      <c r="Q465" t="str">
        <f>IF(Table1[[#This Row],[RM]]&lt;=5.5,"Small",IF(Table1[[#This Row],[RM]]&lt;=6.5,"Medium","Large"))</f>
        <v>Large</v>
      </c>
    </row>
    <row r="466" spans="1:17" x14ac:dyDescent="0.3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  <c r="O466" t="str">
        <f>IF(Table1[[#This Row],[MEDV]]&lt;=15,"Low",IF(Table1[[#This Row],[MEDV]]&lt;=25,"Mid","High"))</f>
        <v>Mid</v>
      </c>
      <c r="P466" t="str">
        <f>IF(Table1[[#This Row],[CRIM]]&lt;=1,"Low",IF(Table1[[#This Row],[CRIM]]&lt;=10,"Medium","High"))</f>
        <v>Medium</v>
      </c>
      <c r="Q466" t="str">
        <f>IF(Table1[[#This Row],[RM]]&lt;=5.5,"Small",IF(Table1[[#This Row],[RM]]&lt;=6.5,"Medium","Large"))</f>
        <v>Medium</v>
      </c>
    </row>
    <row r="467" spans="1:17" x14ac:dyDescent="0.3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  <c r="O467" t="str">
        <f>IF(Table1[[#This Row],[MEDV]]&lt;=15,"Low",IF(Table1[[#This Row],[MEDV]]&lt;=25,"Mid","High"))</f>
        <v>Mid</v>
      </c>
      <c r="P467" t="str">
        <f>IF(Table1[[#This Row],[CRIM]]&lt;=1,"Low",IF(Table1[[#This Row],[CRIM]]&lt;=10,"Medium","High"))</f>
        <v>Medium</v>
      </c>
      <c r="Q467" t="str">
        <f>IF(Table1[[#This Row],[RM]]&lt;=5.5,"Small",IF(Table1[[#This Row],[RM]]&lt;=6.5,"Medium","Large"))</f>
        <v>Medium</v>
      </c>
    </row>
    <row r="468" spans="1:17" x14ac:dyDescent="0.3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  <c r="O468" t="str">
        <f>IF(Table1[[#This Row],[MEDV]]&lt;=15,"Low",IF(Table1[[#This Row],[MEDV]]&lt;=25,"Mid","High"))</f>
        <v>Mid</v>
      </c>
      <c r="P468" t="str">
        <f>IF(Table1[[#This Row],[CRIM]]&lt;=1,"Low",IF(Table1[[#This Row],[CRIM]]&lt;=10,"Medium","High"))</f>
        <v>Medium</v>
      </c>
      <c r="Q468" t="str">
        <f>IF(Table1[[#This Row],[RM]]&lt;=5.5,"Small",IF(Table1[[#This Row],[RM]]&lt;=6.5,"Medium","Large"))</f>
        <v>Medium</v>
      </c>
    </row>
    <row r="469" spans="1:17" x14ac:dyDescent="0.3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  <c r="O469" t="str">
        <f>IF(Table1[[#This Row],[MEDV]]&lt;=15,"Low",IF(Table1[[#This Row],[MEDV]]&lt;=25,"Mid","High"))</f>
        <v>Mid</v>
      </c>
      <c r="P469" t="str">
        <f>IF(Table1[[#This Row],[CRIM]]&lt;=1,"Low",IF(Table1[[#This Row],[CRIM]]&lt;=10,"Medium","High"))</f>
        <v>Medium</v>
      </c>
      <c r="Q469" t="str">
        <f>IF(Table1[[#This Row],[RM]]&lt;=5.5,"Small",IF(Table1[[#This Row],[RM]]&lt;=6.5,"Medium","Large"))</f>
        <v>Medium</v>
      </c>
    </row>
    <row r="470" spans="1:17" x14ac:dyDescent="0.3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  <c r="O470" t="str">
        <f>IF(Table1[[#This Row],[MEDV]]&lt;=15,"Low",IF(Table1[[#This Row],[MEDV]]&lt;=25,"Mid","High"))</f>
        <v>Mid</v>
      </c>
      <c r="P470" t="str">
        <f>IF(Table1[[#This Row],[CRIM]]&lt;=1,"Low",IF(Table1[[#This Row],[CRIM]]&lt;=10,"Medium","High"))</f>
        <v>High</v>
      </c>
      <c r="Q470" t="str">
        <f>IF(Table1[[#This Row],[RM]]&lt;=5.5,"Small",IF(Table1[[#This Row],[RM]]&lt;=6.5,"Medium","Large"))</f>
        <v>Medium</v>
      </c>
    </row>
    <row r="471" spans="1:17" x14ac:dyDescent="0.3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  <c r="O471" t="str">
        <f>IF(Table1[[#This Row],[MEDV]]&lt;=15,"Low",IF(Table1[[#This Row],[MEDV]]&lt;=25,"Mid","High"))</f>
        <v>Mid</v>
      </c>
      <c r="P471" t="str">
        <f>IF(Table1[[#This Row],[CRIM]]&lt;=1,"Low",IF(Table1[[#This Row],[CRIM]]&lt;=10,"Medium","High"))</f>
        <v>High</v>
      </c>
      <c r="Q471" t="str">
        <f>IF(Table1[[#This Row],[RM]]&lt;=5.5,"Small",IF(Table1[[#This Row],[RM]]&lt;=6.5,"Medium","Large"))</f>
        <v>Medium</v>
      </c>
    </row>
    <row r="472" spans="1:17" x14ac:dyDescent="0.3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  <c r="O472" t="str">
        <f>IF(Table1[[#This Row],[MEDV]]&lt;=15,"Low",IF(Table1[[#This Row],[MEDV]]&lt;=25,"Mid","High"))</f>
        <v>Mid</v>
      </c>
      <c r="P472" t="str">
        <f>IF(Table1[[#This Row],[CRIM]]&lt;=1,"Low",IF(Table1[[#This Row],[CRIM]]&lt;=10,"Medium","High"))</f>
        <v>Medium</v>
      </c>
      <c r="Q472" t="str">
        <f>IF(Table1[[#This Row],[RM]]&lt;=5.5,"Small",IF(Table1[[#This Row],[RM]]&lt;=6.5,"Medium","Large"))</f>
        <v>Medium</v>
      </c>
    </row>
    <row r="473" spans="1:17" x14ac:dyDescent="0.3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  <c r="O473" t="str">
        <f>IF(Table1[[#This Row],[MEDV]]&lt;=15,"Low",IF(Table1[[#This Row],[MEDV]]&lt;=25,"Mid","High"))</f>
        <v>Mid</v>
      </c>
      <c r="P473" t="str">
        <f>IF(Table1[[#This Row],[CRIM]]&lt;=1,"Low",IF(Table1[[#This Row],[CRIM]]&lt;=10,"Medium","High"))</f>
        <v>Medium</v>
      </c>
      <c r="Q473" t="str">
        <f>IF(Table1[[#This Row],[RM]]&lt;=5.5,"Small",IF(Table1[[#This Row],[RM]]&lt;=6.5,"Medium","Large"))</f>
        <v>Medium</v>
      </c>
    </row>
    <row r="474" spans="1:17" x14ac:dyDescent="0.3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  <c r="O474" t="str">
        <f>IF(Table1[[#This Row],[MEDV]]&lt;=15,"Low",IF(Table1[[#This Row],[MEDV]]&lt;=25,"Mid","High"))</f>
        <v>Mid</v>
      </c>
      <c r="P474" t="str">
        <f>IF(Table1[[#This Row],[CRIM]]&lt;=1,"Low",IF(Table1[[#This Row],[CRIM]]&lt;=10,"Medium","High"))</f>
        <v>Medium</v>
      </c>
      <c r="Q474" t="str">
        <f>IF(Table1[[#This Row],[RM]]&lt;=5.5,"Small",IF(Table1[[#This Row],[RM]]&lt;=6.5,"Medium","Large"))</f>
        <v>Medium</v>
      </c>
    </row>
    <row r="475" spans="1:17" x14ac:dyDescent="0.3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  <c r="O475" t="str">
        <f>IF(Table1[[#This Row],[MEDV]]&lt;=15,"Low",IF(Table1[[#This Row],[MEDV]]&lt;=25,"Mid","High"))</f>
        <v>High</v>
      </c>
      <c r="P475" t="str">
        <f>IF(Table1[[#This Row],[CRIM]]&lt;=1,"Low",IF(Table1[[#This Row],[CRIM]]&lt;=10,"Medium","High"))</f>
        <v>Medium</v>
      </c>
      <c r="Q475" t="str">
        <f>IF(Table1[[#This Row],[RM]]&lt;=5.5,"Small",IF(Table1[[#This Row],[RM]]&lt;=6.5,"Medium","Large"))</f>
        <v>Large</v>
      </c>
    </row>
    <row r="476" spans="1:17" x14ac:dyDescent="0.3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  <c r="O476" t="str">
        <f>IF(Table1[[#This Row],[MEDV]]&lt;=15,"Low",IF(Table1[[#This Row],[MEDV]]&lt;=25,"Mid","High"))</f>
        <v>Low</v>
      </c>
      <c r="P476" t="str">
        <f>IF(Table1[[#This Row],[CRIM]]&lt;=1,"Low",IF(Table1[[#This Row],[CRIM]]&lt;=10,"Medium","High"))</f>
        <v>Medium</v>
      </c>
      <c r="Q476" t="str">
        <f>IF(Table1[[#This Row],[RM]]&lt;=5.5,"Small",IF(Table1[[#This Row],[RM]]&lt;=6.5,"Medium","Large"))</f>
        <v>Small</v>
      </c>
    </row>
    <row r="477" spans="1:17" x14ac:dyDescent="0.3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  <c r="O477" t="str">
        <f>IF(Table1[[#This Row],[MEDV]]&lt;=15,"Low",IF(Table1[[#This Row],[MEDV]]&lt;=25,"Mid","High"))</f>
        <v>Low</v>
      </c>
      <c r="P477" t="str">
        <f>IF(Table1[[#This Row],[CRIM]]&lt;=1,"Low",IF(Table1[[#This Row],[CRIM]]&lt;=10,"Medium","High"))</f>
        <v>Medium</v>
      </c>
      <c r="Q477" t="str">
        <f>IF(Table1[[#This Row],[RM]]&lt;=5.5,"Small",IF(Table1[[#This Row],[RM]]&lt;=6.5,"Medium","Large"))</f>
        <v>Medium</v>
      </c>
    </row>
    <row r="478" spans="1:17" x14ac:dyDescent="0.3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  <c r="O478" t="str">
        <f>IF(Table1[[#This Row],[MEDV]]&lt;=15,"Low",IF(Table1[[#This Row],[MEDV]]&lt;=25,"Mid","High"))</f>
        <v>Mid</v>
      </c>
      <c r="P478" t="str">
        <f>IF(Table1[[#This Row],[CRIM]]&lt;=1,"Low",IF(Table1[[#This Row],[CRIM]]&lt;=10,"Medium","High"))</f>
        <v>Medium</v>
      </c>
      <c r="Q478" t="str">
        <f>IF(Table1[[#This Row],[RM]]&lt;=5.5,"Small",IF(Table1[[#This Row],[RM]]&lt;=6.5,"Medium","Large"))</f>
        <v>Medium</v>
      </c>
    </row>
    <row r="479" spans="1:17" x14ac:dyDescent="0.3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  <c r="O479" t="str">
        <f>IF(Table1[[#This Row],[MEDV]]&lt;=15,"Low",IF(Table1[[#This Row],[MEDV]]&lt;=25,"Mid","High"))</f>
        <v>Low</v>
      </c>
      <c r="P479" t="str">
        <f>IF(Table1[[#This Row],[CRIM]]&lt;=1,"Low",IF(Table1[[#This Row],[CRIM]]&lt;=10,"Medium","High"))</f>
        <v>High</v>
      </c>
      <c r="Q479" t="str">
        <f>IF(Table1[[#This Row],[RM]]&lt;=5.5,"Small",IF(Table1[[#This Row],[RM]]&lt;=6.5,"Medium","Large"))</f>
        <v>Small</v>
      </c>
    </row>
    <row r="480" spans="1:17" x14ac:dyDescent="0.3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  <c r="O480" t="str">
        <f>IF(Table1[[#This Row],[MEDV]]&lt;=15,"Low",IF(Table1[[#This Row],[MEDV]]&lt;=25,"Mid","High"))</f>
        <v>Low</v>
      </c>
      <c r="P480" t="str">
        <f>IF(Table1[[#This Row],[CRIM]]&lt;=1,"Low",IF(Table1[[#This Row],[CRIM]]&lt;=10,"Medium","High"))</f>
        <v>High</v>
      </c>
      <c r="Q480" t="str">
        <f>IF(Table1[[#This Row],[RM]]&lt;=5.5,"Small",IF(Table1[[#This Row],[RM]]&lt;=6.5,"Medium","Large"))</f>
        <v>Medium</v>
      </c>
    </row>
    <row r="481" spans="1:17" x14ac:dyDescent="0.3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  <c r="O481" t="str">
        <f>IF(Table1[[#This Row],[MEDV]]&lt;=15,"Low",IF(Table1[[#This Row],[MEDV]]&lt;=25,"Mid","High"))</f>
        <v>Mid</v>
      </c>
      <c r="P481" t="str">
        <f>IF(Table1[[#This Row],[CRIM]]&lt;=1,"Low",IF(Table1[[#This Row],[CRIM]]&lt;=10,"Medium","High"))</f>
        <v>High</v>
      </c>
      <c r="Q481" t="str">
        <f>IF(Table1[[#This Row],[RM]]&lt;=5.5,"Small",IF(Table1[[#This Row],[RM]]&lt;=6.5,"Medium","Large"))</f>
        <v>Medium</v>
      </c>
    </row>
    <row r="482" spans="1:17" x14ac:dyDescent="0.3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  <c r="O482" t="str">
        <f>IF(Table1[[#This Row],[MEDV]]&lt;=15,"Low",IF(Table1[[#This Row],[MEDV]]&lt;=25,"Mid","High"))</f>
        <v>Mid</v>
      </c>
      <c r="P482" t="str">
        <f>IF(Table1[[#This Row],[CRIM]]&lt;=1,"Low",IF(Table1[[#This Row],[CRIM]]&lt;=10,"Medium","High"))</f>
        <v>Medium</v>
      </c>
      <c r="Q482" t="str">
        <f>IF(Table1[[#This Row],[RM]]&lt;=5.5,"Small",IF(Table1[[#This Row],[RM]]&lt;=6.5,"Medium","Large"))</f>
        <v>Medium</v>
      </c>
    </row>
    <row r="483" spans="1:17" x14ac:dyDescent="0.3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  <c r="O483" t="str">
        <f>IF(Table1[[#This Row],[MEDV]]&lt;=15,"Low",IF(Table1[[#This Row],[MEDV]]&lt;=25,"Mid","High"))</f>
        <v>Mid</v>
      </c>
      <c r="P483" t="str">
        <f>IF(Table1[[#This Row],[CRIM]]&lt;=1,"Low",IF(Table1[[#This Row],[CRIM]]&lt;=10,"Medium","High"))</f>
        <v>Medium</v>
      </c>
      <c r="Q483" t="str">
        <f>IF(Table1[[#This Row],[RM]]&lt;=5.5,"Small",IF(Table1[[#This Row],[RM]]&lt;=6.5,"Medium","Large"))</f>
        <v>Large</v>
      </c>
    </row>
    <row r="484" spans="1:17" x14ac:dyDescent="0.3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  <c r="O484" t="str">
        <f>IF(Table1[[#This Row],[MEDV]]&lt;=15,"Low",IF(Table1[[#This Row],[MEDV]]&lt;=25,"Mid","High"))</f>
        <v>Mid</v>
      </c>
      <c r="P484" t="str">
        <f>IF(Table1[[#This Row],[CRIM]]&lt;=1,"Low",IF(Table1[[#This Row],[CRIM]]&lt;=10,"Medium","High"))</f>
        <v>Medium</v>
      </c>
      <c r="Q484" t="str">
        <f>IF(Table1[[#This Row],[RM]]&lt;=5.5,"Small",IF(Table1[[#This Row],[RM]]&lt;=6.5,"Medium","Large"))</f>
        <v>Large</v>
      </c>
    </row>
    <row r="485" spans="1:17" x14ac:dyDescent="0.3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  <c r="O485" t="str">
        <f>IF(Table1[[#This Row],[MEDV]]&lt;=15,"Low",IF(Table1[[#This Row],[MEDV]]&lt;=25,"Mid","High"))</f>
        <v>Mid</v>
      </c>
      <c r="P485" t="str">
        <f>IF(Table1[[#This Row],[CRIM]]&lt;=1,"Low",IF(Table1[[#This Row],[CRIM]]&lt;=10,"Medium","High"))</f>
        <v>Medium</v>
      </c>
      <c r="Q485" t="str">
        <f>IF(Table1[[#This Row],[RM]]&lt;=5.5,"Small",IF(Table1[[#This Row],[RM]]&lt;=6.5,"Medium","Large"))</f>
        <v>Medium</v>
      </c>
    </row>
    <row r="486" spans="1:17" x14ac:dyDescent="0.3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  <c r="O486" t="str">
        <f>IF(Table1[[#This Row],[MEDV]]&lt;=15,"Low",IF(Table1[[#This Row],[MEDV]]&lt;=25,"Mid","High"))</f>
        <v>Mid</v>
      </c>
      <c r="P486" t="str">
        <f>IF(Table1[[#This Row],[CRIM]]&lt;=1,"Low",IF(Table1[[#This Row],[CRIM]]&lt;=10,"Medium","High"))</f>
        <v>Medium</v>
      </c>
      <c r="Q486" t="str">
        <f>IF(Table1[[#This Row],[RM]]&lt;=5.5,"Small",IF(Table1[[#This Row],[RM]]&lt;=6.5,"Medium","Large"))</f>
        <v>Medium</v>
      </c>
    </row>
    <row r="487" spans="1:17" x14ac:dyDescent="0.3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  <c r="O487" t="str">
        <f>IF(Table1[[#This Row],[MEDV]]&lt;=15,"Low",IF(Table1[[#This Row],[MEDV]]&lt;=25,"Mid","High"))</f>
        <v>Mid</v>
      </c>
      <c r="P487" t="str">
        <f>IF(Table1[[#This Row],[CRIM]]&lt;=1,"Low",IF(Table1[[#This Row],[CRIM]]&lt;=10,"Medium","High"))</f>
        <v>Medium</v>
      </c>
      <c r="Q487" t="str">
        <f>IF(Table1[[#This Row],[RM]]&lt;=5.5,"Small",IF(Table1[[#This Row],[RM]]&lt;=6.5,"Medium","Large"))</f>
        <v>Medium</v>
      </c>
    </row>
    <row r="488" spans="1:17" x14ac:dyDescent="0.3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  <c r="O488" t="str">
        <f>IF(Table1[[#This Row],[MEDV]]&lt;=15,"Low",IF(Table1[[#This Row],[MEDV]]&lt;=25,"Mid","High"))</f>
        <v>Mid</v>
      </c>
      <c r="P488" t="str">
        <f>IF(Table1[[#This Row],[CRIM]]&lt;=1,"Low",IF(Table1[[#This Row],[CRIM]]&lt;=10,"Medium","High"))</f>
        <v>Medium</v>
      </c>
      <c r="Q488" t="str">
        <f>IF(Table1[[#This Row],[RM]]&lt;=5.5,"Small",IF(Table1[[#This Row],[RM]]&lt;=6.5,"Medium","Large"))</f>
        <v>Medium</v>
      </c>
    </row>
    <row r="489" spans="1:17" x14ac:dyDescent="0.3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  <c r="O489" t="str">
        <f>IF(Table1[[#This Row],[MEDV]]&lt;=15,"Low",IF(Table1[[#This Row],[MEDV]]&lt;=25,"Mid","High"))</f>
        <v>Mid</v>
      </c>
      <c r="P489" t="str">
        <f>IF(Table1[[#This Row],[CRIM]]&lt;=1,"Low",IF(Table1[[#This Row],[CRIM]]&lt;=10,"Medium","High"))</f>
        <v>Medium</v>
      </c>
      <c r="Q489" t="str">
        <f>IF(Table1[[#This Row],[RM]]&lt;=5.5,"Small",IF(Table1[[#This Row],[RM]]&lt;=6.5,"Medium","Large"))</f>
        <v>Medium</v>
      </c>
    </row>
    <row r="490" spans="1:17" x14ac:dyDescent="0.3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  <c r="O490" t="str">
        <f>IF(Table1[[#This Row],[MEDV]]&lt;=15,"Low",IF(Table1[[#This Row],[MEDV]]&lt;=25,"Mid","High"))</f>
        <v>Mid</v>
      </c>
      <c r="P490" t="str">
        <f>IF(Table1[[#This Row],[CRIM]]&lt;=1,"Low",IF(Table1[[#This Row],[CRIM]]&lt;=10,"Medium","High"))</f>
        <v>Low</v>
      </c>
      <c r="Q490" t="str">
        <f>IF(Table1[[#This Row],[RM]]&lt;=5.5,"Small",IF(Table1[[#This Row],[RM]]&lt;=6.5,"Medium","Large"))</f>
        <v>Small</v>
      </c>
    </row>
    <row r="491" spans="1:17" x14ac:dyDescent="0.3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  <c r="O491" t="str">
        <f>IF(Table1[[#This Row],[MEDV]]&lt;=15,"Low",IF(Table1[[#This Row],[MEDV]]&lt;=25,"Mid","High"))</f>
        <v>Low</v>
      </c>
      <c r="P491" t="str">
        <f>IF(Table1[[#This Row],[CRIM]]&lt;=1,"Low",IF(Table1[[#This Row],[CRIM]]&lt;=10,"Medium","High"))</f>
        <v>Low</v>
      </c>
      <c r="Q491" t="str">
        <f>IF(Table1[[#This Row],[RM]]&lt;=5.5,"Small",IF(Table1[[#This Row],[RM]]&lt;=6.5,"Medium","Large"))</f>
        <v>Small</v>
      </c>
    </row>
    <row r="492" spans="1:17" x14ac:dyDescent="0.3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  <c r="O492" t="str">
        <f>IF(Table1[[#This Row],[MEDV]]&lt;=15,"Low",IF(Table1[[#This Row],[MEDV]]&lt;=25,"Mid","High"))</f>
        <v>Low</v>
      </c>
      <c r="P492" t="str">
        <f>IF(Table1[[#This Row],[CRIM]]&lt;=1,"Low",IF(Table1[[#This Row],[CRIM]]&lt;=10,"Medium","High"))</f>
        <v>Low</v>
      </c>
      <c r="Q492" t="str">
        <f>IF(Table1[[#This Row],[RM]]&lt;=5.5,"Small",IF(Table1[[#This Row],[RM]]&lt;=6.5,"Medium","Large"))</f>
        <v>Small</v>
      </c>
    </row>
    <row r="493" spans="1:17" x14ac:dyDescent="0.3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  <c r="O493" t="str">
        <f>IF(Table1[[#This Row],[MEDV]]&lt;=15,"Low",IF(Table1[[#This Row],[MEDV]]&lt;=25,"Mid","High"))</f>
        <v>Low</v>
      </c>
      <c r="P493" t="str">
        <f>IF(Table1[[#This Row],[CRIM]]&lt;=1,"Low",IF(Table1[[#This Row],[CRIM]]&lt;=10,"Medium","High"))</f>
        <v>Low</v>
      </c>
      <c r="Q493" t="str">
        <f>IF(Table1[[#This Row],[RM]]&lt;=5.5,"Small",IF(Table1[[#This Row],[RM]]&lt;=6.5,"Medium","Large"))</f>
        <v>Medium</v>
      </c>
    </row>
    <row r="494" spans="1:17" x14ac:dyDescent="0.3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  <c r="O494" t="str">
        <f>IF(Table1[[#This Row],[MEDV]]&lt;=15,"Low",IF(Table1[[#This Row],[MEDV]]&lt;=25,"Mid","High"))</f>
        <v>Mid</v>
      </c>
      <c r="P494" t="str">
        <f>IF(Table1[[#This Row],[CRIM]]&lt;=1,"Low",IF(Table1[[#This Row],[CRIM]]&lt;=10,"Medium","High"))</f>
        <v>Low</v>
      </c>
      <c r="Q494" t="str">
        <f>IF(Table1[[#This Row],[RM]]&lt;=5.5,"Small",IF(Table1[[#This Row],[RM]]&lt;=6.5,"Medium","Large"))</f>
        <v>Medium</v>
      </c>
    </row>
    <row r="495" spans="1:17" x14ac:dyDescent="0.3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  <c r="O495" t="str">
        <f>IF(Table1[[#This Row],[MEDV]]&lt;=15,"Low",IF(Table1[[#This Row],[MEDV]]&lt;=25,"Mid","High"))</f>
        <v>Mid</v>
      </c>
      <c r="P495" t="str">
        <f>IF(Table1[[#This Row],[CRIM]]&lt;=1,"Low",IF(Table1[[#This Row],[CRIM]]&lt;=10,"Medium","High"))</f>
        <v>Low</v>
      </c>
      <c r="Q495" t="str">
        <f>IF(Table1[[#This Row],[RM]]&lt;=5.5,"Small",IF(Table1[[#This Row],[RM]]&lt;=6.5,"Medium","Large"))</f>
        <v>Medium</v>
      </c>
    </row>
    <row r="496" spans="1:17" x14ac:dyDescent="0.3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  <c r="O496" t="str">
        <f>IF(Table1[[#This Row],[MEDV]]&lt;=15,"Low",IF(Table1[[#This Row],[MEDV]]&lt;=25,"Mid","High"))</f>
        <v>Mid</v>
      </c>
      <c r="P496" t="str">
        <f>IF(Table1[[#This Row],[CRIM]]&lt;=1,"Low",IF(Table1[[#This Row],[CRIM]]&lt;=10,"Medium","High"))</f>
        <v>Low</v>
      </c>
      <c r="Q496" t="str">
        <f>IF(Table1[[#This Row],[RM]]&lt;=5.5,"Small",IF(Table1[[#This Row],[RM]]&lt;=6.5,"Medium","Large"))</f>
        <v>Medium</v>
      </c>
    </row>
    <row r="497" spans="1:17" x14ac:dyDescent="0.3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  <c r="O497" t="str">
        <f>IF(Table1[[#This Row],[MEDV]]&lt;=15,"Low",IF(Table1[[#This Row],[MEDV]]&lt;=25,"Mid","High"))</f>
        <v>Mid</v>
      </c>
      <c r="P497" t="str">
        <f>IF(Table1[[#This Row],[CRIM]]&lt;=1,"Low",IF(Table1[[#This Row],[CRIM]]&lt;=10,"Medium","High"))</f>
        <v>Low</v>
      </c>
      <c r="Q497" t="str">
        <f>IF(Table1[[#This Row],[RM]]&lt;=5.5,"Small",IF(Table1[[#This Row],[RM]]&lt;=6.5,"Medium","Large"))</f>
        <v>Medium</v>
      </c>
    </row>
    <row r="498" spans="1:17" x14ac:dyDescent="0.3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  <c r="O498" t="str">
        <f>IF(Table1[[#This Row],[MEDV]]&lt;=15,"Low",IF(Table1[[#This Row],[MEDV]]&lt;=25,"Mid","High"))</f>
        <v>Mid</v>
      </c>
      <c r="P498" t="str">
        <f>IF(Table1[[#This Row],[CRIM]]&lt;=1,"Low",IF(Table1[[#This Row],[CRIM]]&lt;=10,"Medium","High"))</f>
        <v>Low</v>
      </c>
      <c r="Q498" t="str">
        <f>IF(Table1[[#This Row],[RM]]&lt;=5.5,"Small",IF(Table1[[#This Row],[RM]]&lt;=6.5,"Medium","Large"))</f>
        <v>Small</v>
      </c>
    </row>
    <row r="499" spans="1:17" x14ac:dyDescent="0.3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  <c r="O499" t="str">
        <f>IF(Table1[[#This Row],[MEDV]]&lt;=15,"Low",IF(Table1[[#This Row],[MEDV]]&lt;=25,"Mid","High"))</f>
        <v>Mid</v>
      </c>
      <c r="P499" t="str">
        <f>IF(Table1[[#This Row],[CRIM]]&lt;=1,"Low",IF(Table1[[#This Row],[CRIM]]&lt;=10,"Medium","High"))</f>
        <v>Low</v>
      </c>
      <c r="Q499" t="str">
        <f>IF(Table1[[#This Row],[RM]]&lt;=5.5,"Small",IF(Table1[[#This Row],[RM]]&lt;=6.5,"Medium","Large"))</f>
        <v>Medium</v>
      </c>
    </row>
    <row r="500" spans="1:17" x14ac:dyDescent="0.3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  <c r="O500" t="str">
        <f>IF(Table1[[#This Row],[MEDV]]&lt;=15,"Low",IF(Table1[[#This Row],[MEDV]]&lt;=25,"Mid","High"))</f>
        <v>Mid</v>
      </c>
      <c r="P500" t="str">
        <f>IF(Table1[[#This Row],[CRIM]]&lt;=1,"Low",IF(Table1[[#This Row],[CRIM]]&lt;=10,"Medium","High"))</f>
        <v>Low</v>
      </c>
      <c r="Q500" t="str">
        <f>IF(Table1[[#This Row],[RM]]&lt;=5.5,"Small",IF(Table1[[#This Row],[RM]]&lt;=6.5,"Medium","Large"))</f>
        <v>Medium</v>
      </c>
    </row>
    <row r="501" spans="1:17" x14ac:dyDescent="0.3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  <c r="O501" t="str">
        <f>IF(Table1[[#This Row],[MEDV]]&lt;=15,"Low",IF(Table1[[#This Row],[MEDV]]&lt;=25,"Mid","High"))</f>
        <v>Mid</v>
      </c>
      <c r="P501" t="str">
        <f>IF(Table1[[#This Row],[CRIM]]&lt;=1,"Low",IF(Table1[[#This Row],[CRIM]]&lt;=10,"Medium","High"))</f>
        <v>Low</v>
      </c>
      <c r="Q501" t="str">
        <f>IF(Table1[[#This Row],[RM]]&lt;=5.5,"Small",IF(Table1[[#This Row],[RM]]&lt;=6.5,"Medium","Large"))</f>
        <v>Medium</v>
      </c>
    </row>
    <row r="502" spans="1:17" x14ac:dyDescent="0.3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  <c r="O502" t="str">
        <f>IF(Table1[[#This Row],[MEDV]]&lt;=15,"Low",IF(Table1[[#This Row],[MEDV]]&lt;=25,"Mid","High"))</f>
        <v>Mid</v>
      </c>
      <c r="P502" t="str">
        <f>IF(Table1[[#This Row],[CRIM]]&lt;=1,"Low",IF(Table1[[#This Row],[CRIM]]&lt;=10,"Medium","High"))</f>
        <v>Low</v>
      </c>
      <c r="Q502" t="str">
        <f>IF(Table1[[#This Row],[RM]]&lt;=5.5,"Small",IF(Table1[[#This Row],[RM]]&lt;=6.5,"Medium","Large"))</f>
        <v>Medium</v>
      </c>
    </row>
    <row r="503" spans="1:17" x14ac:dyDescent="0.3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  <c r="O503" t="str">
        <f>IF(Table1[[#This Row],[MEDV]]&lt;=15,"Low",IF(Table1[[#This Row],[MEDV]]&lt;=25,"Mid","High"))</f>
        <v>Mid</v>
      </c>
      <c r="P503" t="str">
        <f>IF(Table1[[#This Row],[CRIM]]&lt;=1,"Low",IF(Table1[[#This Row],[CRIM]]&lt;=10,"Medium","High"))</f>
        <v>Low</v>
      </c>
      <c r="Q503" t="str">
        <f>IF(Table1[[#This Row],[RM]]&lt;=5.5,"Small",IF(Table1[[#This Row],[RM]]&lt;=6.5,"Medium","Large"))</f>
        <v>Large</v>
      </c>
    </row>
    <row r="504" spans="1:17" x14ac:dyDescent="0.3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  <c r="O504" t="str">
        <f>IF(Table1[[#This Row],[MEDV]]&lt;=15,"Low",IF(Table1[[#This Row],[MEDV]]&lt;=25,"Mid","High"))</f>
        <v>Mid</v>
      </c>
      <c r="P504" t="str">
        <f>IF(Table1[[#This Row],[CRIM]]&lt;=1,"Low",IF(Table1[[#This Row],[CRIM]]&lt;=10,"Medium","High"))</f>
        <v>Low</v>
      </c>
      <c r="Q504" t="str">
        <f>IF(Table1[[#This Row],[RM]]&lt;=5.5,"Small",IF(Table1[[#This Row],[RM]]&lt;=6.5,"Medium","Large"))</f>
        <v>Medium</v>
      </c>
    </row>
    <row r="505" spans="1:17" x14ac:dyDescent="0.3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  <c r="O505" t="str">
        <f>IF(Table1[[#This Row],[MEDV]]&lt;=15,"Low",IF(Table1[[#This Row],[MEDV]]&lt;=25,"Mid","High"))</f>
        <v>Mid</v>
      </c>
      <c r="P505" t="str">
        <f>IF(Table1[[#This Row],[CRIM]]&lt;=1,"Low",IF(Table1[[#This Row],[CRIM]]&lt;=10,"Medium","High"))</f>
        <v>Low</v>
      </c>
      <c r="Q505" t="str">
        <f>IF(Table1[[#This Row],[RM]]&lt;=5.5,"Small",IF(Table1[[#This Row],[RM]]&lt;=6.5,"Medium","Large"))</f>
        <v>Large</v>
      </c>
    </row>
    <row r="506" spans="1:17" x14ac:dyDescent="0.3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  <c r="O506" t="str">
        <f>IF(Table1[[#This Row],[MEDV]]&lt;=15,"Low",IF(Table1[[#This Row],[MEDV]]&lt;=25,"Mid","High"))</f>
        <v>Mid</v>
      </c>
      <c r="P506" t="str">
        <f>IF(Table1[[#This Row],[CRIM]]&lt;=1,"Low",IF(Table1[[#This Row],[CRIM]]&lt;=10,"Medium","High"))</f>
        <v>Low</v>
      </c>
      <c r="Q506" t="str">
        <f>IF(Table1[[#This Row],[RM]]&lt;=5.5,"Small",IF(Table1[[#This Row],[RM]]&lt;=6.5,"Medium","Large"))</f>
        <v>Large</v>
      </c>
    </row>
    <row r="507" spans="1:17" x14ac:dyDescent="0.3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  <c r="O507" t="str">
        <f>IF(Table1[[#This Row],[MEDV]]&lt;=15,"Low",IF(Table1[[#This Row],[MEDV]]&lt;=25,"Mid","High"))</f>
        <v>Low</v>
      </c>
      <c r="P507" t="str">
        <f>IF(Table1[[#This Row],[CRIM]]&lt;=1,"Low",IF(Table1[[#This Row],[CRIM]]&lt;=10,"Medium","High"))</f>
        <v>Low</v>
      </c>
      <c r="Q507" t="str">
        <f>IF(Table1[[#This Row],[RM]]&lt;=5.5,"Small",IF(Table1[[#This Row],[RM]]&lt;=6.5,"Medium","Large"))</f>
        <v>Medium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7D7C-632D-4862-8CB3-D67177B50EFF}">
  <dimension ref="A1:B5"/>
  <sheetViews>
    <sheetView workbookViewId="0">
      <selection activeCell="J20" sqref="J20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1" spans="1:2" x14ac:dyDescent="0.3">
      <c r="A1" s="2" t="s">
        <v>20</v>
      </c>
      <c r="B1" t="s">
        <v>25</v>
      </c>
    </row>
    <row r="2" spans="1:2" x14ac:dyDescent="0.3">
      <c r="A2" s="3" t="s">
        <v>21</v>
      </c>
      <c r="B2" s="4">
        <v>12.340740740740738</v>
      </c>
    </row>
    <row r="3" spans="1:2" x14ac:dyDescent="0.3">
      <c r="A3" s="3" t="s">
        <v>22</v>
      </c>
      <c r="B3" s="4">
        <v>25.110843373493996</v>
      </c>
    </row>
    <row r="4" spans="1:2" x14ac:dyDescent="0.3">
      <c r="A4" s="3" t="s">
        <v>23</v>
      </c>
      <c r="B4" s="4">
        <v>19.986666666666668</v>
      </c>
    </row>
    <row r="5" spans="1:2" x14ac:dyDescent="0.3">
      <c r="A5" s="3" t="s">
        <v>24</v>
      </c>
      <c r="B5" s="4">
        <v>22.532806324110695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12AE-3DB9-465D-9065-24769B0FCFC8}">
  <dimension ref="A1:B5"/>
  <sheetViews>
    <sheetView workbookViewId="0">
      <selection activeCell="B16" sqref="B16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1" spans="1:2" x14ac:dyDescent="0.3">
      <c r="A1" s="2" t="s">
        <v>20</v>
      </c>
      <c r="B1" t="s">
        <v>25</v>
      </c>
    </row>
    <row r="2" spans="1:2" x14ac:dyDescent="0.3">
      <c r="A2" s="3" t="s">
        <v>26</v>
      </c>
      <c r="B2" s="4">
        <v>31.061184210526292</v>
      </c>
    </row>
    <row r="3" spans="1:2" x14ac:dyDescent="0.3">
      <c r="A3" s="3" t="s">
        <v>23</v>
      </c>
      <c r="B3" s="4">
        <v>19.366025641025654</v>
      </c>
    </row>
    <row r="4" spans="1:2" x14ac:dyDescent="0.3">
      <c r="A4" s="3" t="s">
        <v>27</v>
      </c>
      <c r="B4" s="4">
        <v>15.192857142857141</v>
      </c>
    </row>
    <row r="5" spans="1:2" x14ac:dyDescent="0.3">
      <c r="A5" s="3" t="s">
        <v>24</v>
      </c>
      <c r="B5" s="4">
        <v>22.532806324110673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489F-3F77-42CA-9905-FB88D5F32532}">
  <dimension ref="A1:B5"/>
  <sheetViews>
    <sheetView workbookViewId="0">
      <selection activeCell="Q3" sqref="Q3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1" spans="1:2" x14ac:dyDescent="0.3">
      <c r="A1" s="2" t="s">
        <v>20</v>
      </c>
      <c r="B1" t="s">
        <v>25</v>
      </c>
    </row>
    <row r="2" spans="1:2" x14ac:dyDescent="0.3">
      <c r="A2" s="3" t="s">
        <v>21</v>
      </c>
      <c r="B2" s="4">
        <v>35.259677419354823</v>
      </c>
    </row>
    <row r="3" spans="1:2" x14ac:dyDescent="0.3">
      <c r="A3" s="3" t="s">
        <v>22</v>
      </c>
      <c r="B3" s="4">
        <v>11.713402061855668</v>
      </c>
    </row>
    <row r="4" spans="1:2" x14ac:dyDescent="0.3">
      <c r="A4" s="3" t="s">
        <v>28</v>
      </c>
      <c r="B4" s="4">
        <v>20.677894736842113</v>
      </c>
    </row>
    <row r="5" spans="1:2" x14ac:dyDescent="0.3">
      <c r="A5" s="3" t="s">
        <v>24</v>
      </c>
      <c r="B5" s="4">
        <v>22.532806324110677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Boston-house-price-data</vt:lpstr>
      <vt:lpstr>PT_Crime_Price</vt:lpstr>
      <vt:lpstr>PT_Rooms_Price</vt:lpstr>
      <vt:lpstr>PT_Price_Distribution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Kaushiki Sharma</dc:creator>
  <cp:lastModifiedBy>Kaushiki Sharma</cp:lastModifiedBy>
  <dcterms:created xsi:type="dcterms:W3CDTF">2026-04-06T03:40:25Z</dcterms:created>
  <dcterms:modified xsi:type="dcterms:W3CDTF">2026-04-06T10:28:11Z</dcterms:modified>
</cp:coreProperties>
</file>